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1773\Downloads\"/>
    </mc:Choice>
  </mc:AlternateContent>
  <xr:revisionPtr revIDLastSave="0" documentId="13_ncr:1_{F86834C1-3BF2-494F-A208-5EE26968BE5E}" xr6:coauthVersionLast="47" xr6:coauthVersionMax="47" xr10:uidLastSave="{00000000-0000-0000-0000-000000000000}"/>
  <bookViews>
    <workbookView xWindow="-110" yWindow="-110" windowWidth="19420" windowHeight="10300" tabRatio="732" activeTab="1" xr2:uid="{00000000-000D-0000-FFFF-FFFF00000000}"/>
  </bookViews>
  <sheets>
    <sheet name="Regression Brick" sheetId="4" r:id="rId1"/>
    <sheet name="Data" sheetId="303" r:id="rId2"/>
    <sheet name="Regression" sheetId="302" r:id="rId3"/>
  </sheets>
  <definedNames>
    <definedName name="__DER254_SiemensSync_LR__">#REF!</definedName>
    <definedName name="Axis_max">#REF!</definedName>
    <definedName name="Axis_mi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302" l="1"/>
  <c r="J17" i="302"/>
  <c r="K16" i="302" s="1"/>
  <c r="I17" i="302"/>
  <c r="K15" i="302" s="1"/>
  <c r="I16" i="302"/>
  <c r="J15" i="302" s="1"/>
  <c r="H17" i="302"/>
  <c r="K14" i="302" s="1"/>
  <c r="H16" i="302"/>
  <c r="J14" i="302" s="1"/>
  <c r="H15" i="302"/>
  <c r="I14" i="302" s="1"/>
  <c r="H2" i="302" a="1"/>
  <c r="H2" i="302" s="1"/>
  <c r="J11" i="4"/>
  <c r="I11" i="4"/>
  <c r="H11" i="4"/>
  <c r="K11" i="4"/>
  <c r="G11" i="4" l="1"/>
  <c r="H19" i="302" a="1"/>
  <c r="E11" i="302" a="1"/>
  <c r="E11" i="302" s="1"/>
  <c r="J3" i="302"/>
  <c r="K2" i="302"/>
  <c r="K6" i="302"/>
  <c r="I4" i="302"/>
  <c r="J6" i="302"/>
  <c r="H4" i="302"/>
  <c r="K3" i="302"/>
  <c r="I3" i="302"/>
  <c r="K5" i="302"/>
  <c r="J5" i="302"/>
  <c r="H3" i="302"/>
  <c r="I5" i="302"/>
  <c r="L2" i="302"/>
  <c r="L3" i="302"/>
  <c r="I6" i="302"/>
  <c r="H6" i="302"/>
  <c r="L5" i="302"/>
  <c r="H5" i="302"/>
  <c r="L4" i="302"/>
  <c r="J2" i="302"/>
  <c r="K4" i="302"/>
  <c r="I2" i="302"/>
  <c r="L6" i="302"/>
  <c r="J4" i="302"/>
  <c r="B19" i="302" l="1" a="1"/>
  <c r="B23" i="302" s="1"/>
  <c r="I20" i="302"/>
  <c r="F21" i="302" s="1"/>
  <c r="J20" i="302"/>
  <c r="H21" i="302"/>
  <c r="H19" i="302"/>
  <c r="F20" i="302" s="1"/>
  <c r="K20" i="302"/>
  <c r="I21" i="302"/>
  <c r="J19" i="302"/>
  <c r="K22" i="302"/>
  <c r="F23" i="302" s="1"/>
  <c r="J21" i="302"/>
  <c r="F22" i="302" s="1"/>
  <c r="I19" i="302"/>
  <c r="K21" i="302"/>
  <c r="H22" i="302"/>
  <c r="J22" i="302"/>
  <c r="K19" i="302"/>
  <c r="H20" i="302"/>
  <c r="I22" i="302"/>
  <c r="B19" i="302" l="1"/>
  <c r="B21" i="302"/>
  <c r="B22" i="302"/>
  <c r="B20" i="302"/>
  <c r="N6" i="302"/>
  <c r="O6" i="302" s="1"/>
  <c r="N9" i="302"/>
  <c r="O9" i="302" s="1"/>
  <c r="N10" i="302"/>
  <c r="O10" i="302" s="1"/>
  <c r="N2" i="302"/>
  <c r="O2" i="302" s="1"/>
  <c r="N8" i="302"/>
  <c r="O8" i="302" s="1"/>
  <c r="B3" i="302"/>
  <c r="N4" i="302"/>
  <c r="O4" i="302" s="1"/>
  <c r="N5" i="302"/>
  <c r="O5" i="302" s="1"/>
  <c r="P5" i="302" s="1"/>
  <c r="N3" i="302"/>
  <c r="O3" i="302" s="1"/>
  <c r="P10" i="302" l="1"/>
  <c r="P9" i="302"/>
  <c r="N7" i="302"/>
  <c r="O7" i="302" s="1"/>
  <c r="P7" i="302" s="1"/>
  <c r="P3" i="302"/>
  <c r="P4" i="302"/>
  <c r="B8" i="302"/>
  <c r="E13" i="302" s="1"/>
  <c r="E14" i="302" s="1"/>
  <c r="P6" i="302"/>
  <c r="P8" i="302" l="1"/>
  <c r="E12" i="302"/>
  <c r="D8" i="302"/>
  <c r="B7" i="302"/>
  <c r="C12" i="302" l="1"/>
  <c r="D7" i="302"/>
  <c r="E7" i="302" s="1"/>
  <c r="F7" i="302" s="1"/>
  <c r="I8" i="302"/>
  <c r="K10" i="302"/>
  <c r="J8" i="302"/>
  <c r="L10" i="302"/>
  <c r="K8" i="302"/>
  <c r="H11" i="302"/>
  <c r="L8" i="302"/>
  <c r="I11" i="302"/>
  <c r="H9" i="302"/>
  <c r="H12" i="302"/>
  <c r="I10" i="302"/>
  <c r="C13" i="302"/>
  <c r="C11" i="302"/>
  <c r="J12" i="302"/>
  <c r="I9" i="302"/>
  <c r="C20" i="302" s="1"/>
  <c r="D20" i="302" s="1"/>
  <c r="E20" i="302" s="1"/>
  <c r="K11" i="302"/>
  <c r="C22" i="302" s="1"/>
  <c r="D22" i="302" s="1"/>
  <c r="E22" i="302" s="1"/>
  <c r="J9" i="302"/>
  <c r="L11" i="302"/>
  <c r="K9" i="302"/>
  <c r="H10" i="302"/>
  <c r="K12" i="302"/>
  <c r="H8" i="302"/>
  <c r="C19" i="302" s="1"/>
  <c r="D19" i="302" s="1"/>
  <c r="E19" i="302" s="1"/>
  <c r="J10" i="302"/>
  <c r="C21" i="302" s="1"/>
  <c r="D21" i="302" s="1"/>
  <c r="E21" i="302" s="1"/>
  <c r="L12" i="302"/>
  <c r="C23" i="302" s="1"/>
  <c r="D23" i="302" s="1"/>
  <c r="E23" i="302" s="1"/>
  <c r="J11" i="302"/>
  <c r="L9" i="302"/>
  <c r="I12" i="302"/>
</calcChain>
</file>

<file path=xl/sharedStrings.xml><?xml version="1.0" encoding="utf-8"?>
<sst xmlns="http://schemas.openxmlformats.org/spreadsheetml/2006/main" count="351" uniqueCount="60">
  <si>
    <t>TimeStamp</t>
  </si>
  <si>
    <t>Intercept</t>
  </si>
  <si>
    <t>X'X inverse</t>
  </si>
  <si>
    <t>Variance-covariance matrix</t>
  </si>
  <si>
    <t>Correlation matrix</t>
  </si>
  <si>
    <t>Inverse Correlation Matrix</t>
  </si>
  <si>
    <t>Regression equation:</t>
  </si>
  <si>
    <t>Sum of</t>
  </si>
  <si>
    <t>Degrees of</t>
  </si>
  <si>
    <t>Mean</t>
  </si>
  <si>
    <t>Source of Variation</t>
  </si>
  <si>
    <t>Squares</t>
  </si>
  <si>
    <t>Freedom</t>
  </si>
  <si>
    <t>Square</t>
  </si>
  <si>
    <t>F</t>
  </si>
  <si>
    <t>P-value</t>
  </si>
  <si>
    <t>Fits</t>
  </si>
  <si>
    <t>Resids</t>
  </si>
  <si>
    <t>Regression</t>
  </si>
  <si>
    <t>Error</t>
  </si>
  <si>
    <t>Total</t>
  </si>
  <si>
    <t>s</t>
  </si>
  <si>
    <t>R-sq</t>
  </si>
  <si>
    <t>R-Sq(adj)</t>
  </si>
  <si>
    <t>Parameter Estimates</t>
  </si>
  <si>
    <t>Predictor</t>
  </si>
  <si>
    <t>Coef Est</t>
  </si>
  <si>
    <t>Std Error</t>
  </si>
  <si>
    <t>t value</t>
  </si>
  <si>
    <t>Constant</t>
  </si>
  <si>
    <t>Determinant</t>
  </si>
  <si>
    <t>Durbin-Watson</t>
  </si>
  <si>
    <t>DW</t>
  </si>
  <si>
    <t>VIFs</t>
  </si>
  <si>
    <t>RMSE</t>
  </si>
  <si>
    <t>CVRMSE</t>
  </si>
  <si>
    <t>Consumption</t>
  </si>
  <si>
    <t>GDP</t>
  </si>
  <si>
    <t>% renewables</t>
  </si>
  <si>
    <t>Mean temperature</t>
  </si>
  <si>
    <t>Population</t>
  </si>
  <si>
    <t>Regression Analysis of Consumption</t>
  </si>
  <si>
    <t>9 observations were used in the analysis.</t>
  </si>
  <si>
    <t>Computational time: 0.12 seconds.</t>
  </si>
  <si>
    <t>Calculated using FORECAST.ETS function</t>
  </si>
  <si>
    <t>Mean temp</t>
  </si>
  <si>
    <t>x' considered</t>
  </si>
  <si>
    <t>LINEAR FORECAST</t>
  </si>
  <si>
    <t>Best variable to to considered for forecasting can be found out by running regressions using each variable individually and variable which gives the least CVRMSE and the highest R-sq can be chosen</t>
  </si>
  <si>
    <t>Calculated using FORECAST.LINEAR function</t>
  </si>
  <si>
    <t>GDP of the UK 1948-2023</t>
  </si>
  <si>
    <t>Gross domestic product of the United Kingdom from 1948 to 2023 (in million GBP)</t>
  </si>
  <si>
    <t>% of UK energy mix</t>
  </si>
  <si>
    <t>Renewables</t>
  </si>
  <si>
    <t>Fossil Fuels</t>
  </si>
  <si>
    <t>United Kingdom</t>
  </si>
  <si>
    <t>Degrees Centigrade</t>
  </si>
  <si>
    <t>https://climate-change.data.gov.uk/data-sources/tile-sparkline-uk-annual-mean-temperature-1884-2022-created-2023-04-25</t>
  </si>
  <si>
    <t>https://www.cladcodecking.co.uk/blog/post/renewable-energy-percentage-uk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</si>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</sst>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m/d/yy\ h:mm;@"/>
    <numFmt numFmtId="167" formatCode="0.0000"/>
  </numFmts>
  <fonts count="1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name val="Calibri"/>
      <family val="2"/>
    </font>
    <font>
      <sz val="10"/>
      <name val="Arial"/>
      <family val="2"/>
    </font>
    <font>
      <sz val="9"/>
      <color theme="0" tint="-0.499984740745262"/>
      <name val="Arial"/>
      <family val="2"/>
      <scheme val="minor"/>
    </font>
    <font>
      <sz val="8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2"/>
      <color theme="0" tint="-0.499984740745262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53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rgb="FF009530"/>
      </left>
      <right/>
      <top/>
      <bottom/>
      <diagonal/>
    </border>
    <border>
      <left style="thin">
        <color rgb="FF009530"/>
      </left>
      <right/>
      <top/>
      <bottom style="thin">
        <color rgb="FF009530"/>
      </bottom>
      <diagonal/>
    </border>
    <border>
      <left/>
      <right style="thin">
        <color rgb="FF009530"/>
      </right>
      <top/>
      <bottom/>
      <diagonal/>
    </border>
    <border>
      <left/>
      <right style="thin">
        <color rgb="FF009530"/>
      </right>
      <top/>
      <bottom style="thin">
        <color rgb="FF009530"/>
      </bottom>
      <diagonal/>
    </border>
    <border>
      <left style="thin">
        <color rgb="FF009530"/>
      </left>
      <right style="thin">
        <color rgb="FF009530"/>
      </right>
      <top style="thin">
        <color rgb="FF009530"/>
      </top>
      <bottom style="thin">
        <color rgb="FF009530"/>
      </bottom>
      <diagonal/>
    </border>
    <border>
      <left style="thin">
        <color rgb="FF009530"/>
      </left>
      <right style="thin">
        <color rgb="FF009530"/>
      </right>
      <top/>
      <bottom/>
      <diagonal/>
    </border>
    <border>
      <left style="thin">
        <color rgb="FF009530"/>
      </left>
      <right style="thin">
        <color rgb="FF009530"/>
      </right>
      <top/>
      <bottom style="thin">
        <color rgb="FF00953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4" fillId="4" borderId="0" applyBorder="0" applyAlignment="0">
      <alignment wrapText="1"/>
    </xf>
    <xf numFmtId="164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166" fontId="0" fillId="2" borderId="0" xfId="0" applyNumberFormat="1" applyFill="1"/>
    <xf numFmtId="1" fontId="0" fillId="2" borderId="0" xfId="0" applyNumberFormat="1" applyFill="1"/>
    <xf numFmtId="0" fontId="3" fillId="3" borderId="0" xfId="0" applyFont="1" applyFill="1" applyAlignment="1">
      <alignment wrapText="1"/>
    </xf>
    <xf numFmtId="165" fontId="0" fillId="2" borderId="0" xfId="1" applyNumberFormat="1" applyFont="1" applyFill="1"/>
    <xf numFmtId="9" fontId="6" fillId="2" borderId="1" xfId="6" applyFont="1" applyFill="1" applyBorder="1"/>
    <xf numFmtId="1" fontId="0" fillId="5" borderId="0" xfId="0" applyNumberFormat="1" applyFill="1"/>
    <xf numFmtId="165" fontId="0" fillId="5" borderId="0" xfId="1" applyNumberFormat="1" applyFont="1" applyFill="1"/>
    <xf numFmtId="0" fontId="0" fillId="5" borderId="0" xfId="0" applyFill="1"/>
    <xf numFmtId="0" fontId="7" fillId="0" borderId="0" xfId="0" applyFont="1"/>
    <xf numFmtId="0" fontId="2" fillId="2" borderId="0" xfId="0" applyFont="1" applyFill="1"/>
    <xf numFmtId="0" fontId="8" fillId="6" borderId="0" xfId="0" applyFont="1" applyFill="1"/>
    <xf numFmtId="164" fontId="6" fillId="2" borderId="9" xfId="1" applyFont="1" applyFill="1" applyBorder="1"/>
    <xf numFmtId="0" fontId="6" fillId="2" borderId="0" xfId="0" applyFont="1" applyFill="1"/>
    <xf numFmtId="2" fontId="6" fillId="2" borderId="0" xfId="0" applyNumberFormat="1" applyFont="1" applyFill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7" xfId="0" applyFont="1" applyFill="1" applyBorder="1"/>
    <xf numFmtId="0" fontId="6" fillId="2" borderId="8" xfId="0" applyFont="1" applyFill="1" applyBorder="1"/>
    <xf numFmtId="2" fontId="6" fillId="2" borderId="7" xfId="0" applyNumberFormat="1" applyFont="1" applyFill="1" applyBorder="1"/>
    <xf numFmtId="167" fontId="6" fillId="2" borderId="2" xfId="0" applyNumberFormat="1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2" fontId="6" fillId="2" borderId="6" xfId="0" applyNumberFormat="1" applyFont="1" applyFill="1" applyBorder="1"/>
    <xf numFmtId="10" fontId="6" fillId="2" borderId="6" xfId="0" applyNumberFormat="1" applyFont="1" applyFill="1" applyBorder="1"/>
    <xf numFmtId="0" fontId="6" fillId="2" borderId="6" xfId="0" applyFont="1" applyFill="1" applyBorder="1"/>
    <xf numFmtId="167" fontId="6" fillId="2" borderId="6" xfId="0" applyNumberFormat="1" applyFont="1" applyFill="1" applyBorder="1"/>
    <xf numFmtId="167" fontId="6" fillId="2" borderId="0" xfId="0" applyNumberFormat="1" applyFont="1" applyFill="1"/>
    <xf numFmtId="0" fontId="9" fillId="2" borderId="0" xfId="0" applyFont="1" applyFill="1"/>
    <xf numFmtId="0" fontId="3" fillId="3" borderId="0" xfId="0" applyFont="1" applyFill="1" applyAlignment="1">
      <alignment horizontal="center" vertical="center" wrapText="1"/>
    </xf>
    <xf numFmtId="1" fontId="8" fillId="7" borderId="0" xfId="0" applyNumberFormat="1" applyFont="1" applyFill="1"/>
    <xf numFmtId="165" fontId="0" fillId="2" borderId="0" xfId="1" applyNumberFormat="1" applyFont="1" applyFill="1" applyAlignment="1">
      <alignment horizontal="center" vertical="center"/>
    </xf>
    <xf numFmtId="165" fontId="0" fillId="5" borderId="0" xfId="1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5" fontId="0" fillId="2" borderId="13" xfId="1" applyNumberFormat="1" applyFont="1" applyFill="1" applyBorder="1" applyAlignment="1">
      <alignment horizontal="center" vertical="center"/>
    </xf>
    <xf numFmtId="165" fontId="0" fillId="2" borderId="15" xfId="1" applyNumberFormat="1" applyFont="1" applyFill="1" applyBorder="1" applyAlignment="1">
      <alignment horizontal="center" vertical="center"/>
    </xf>
    <xf numFmtId="165" fontId="0" fillId="2" borderId="16" xfId="1" applyNumberFormat="1" applyFont="1" applyFill="1" applyBorder="1" applyAlignment="1">
      <alignment horizontal="center" vertical="center"/>
    </xf>
    <xf numFmtId="165" fontId="0" fillId="2" borderId="17" xfId="1" applyNumberFormat="1" applyFont="1" applyFill="1" applyBorder="1" applyAlignment="1">
      <alignment horizontal="center" vertical="center"/>
    </xf>
    <xf numFmtId="165" fontId="0" fillId="2" borderId="18" xfId="1" applyNumberFormat="1" applyFont="1" applyFill="1" applyBorder="1" applyAlignment="1">
      <alignment horizontal="center" vertical="center"/>
    </xf>
    <xf numFmtId="165" fontId="0" fillId="2" borderId="10" xfId="1" quotePrefix="1" applyNumberFormat="1" applyFont="1" applyFill="1" applyBorder="1" applyAlignment="1">
      <alignment horizontal="center" vertical="center"/>
    </xf>
    <xf numFmtId="166" fontId="3" fillId="3" borderId="0" xfId="0" applyNumberFormat="1" applyFont="1" applyFill="1" applyAlignment="1">
      <alignment horizontal="center" vertical="center" wrapText="1"/>
    </xf>
    <xf numFmtId="1" fontId="0" fillId="2" borderId="0" xfId="0" applyNumberFormat="1" applyFill="1" applyAlignment="1">
      <alignment horizontal="center" vertical="center"/>
    </xf>
    <xf numFmtId="1" fontId="8" fillId="7" borderId="0" xfId="0" applyNumberFormat="1" applyFon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3" fontId="0" fillId="0" borderId="0" xfId="0" applyNumberFormat="1"/>
    <xf numFmtId="0" fontId="0" fillId="8" borderId="0" xfId="0" applyFill="1"/>
    <xf numFmtId="0" fontId="0" fillId="0" borderId="0" xfId="0" applyAlignment="1">
      <alignment horizontal="center" wrapText="1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165" fontId="3" fillId="3" borderId="0" xfId="1" applyNumberFormat="1" applyFont="1" applyFill="1" applyAlignment="1">
      <alignment horizontal="center" vertical="center" wrapText="1"/>
    </xf>
  </cellXfs>
  <cellStyles count="7">
    <cellStyle name="Bkgd Tool" xfId="2" xr:uid="{00000000-0005-0000-0000-000001000000}"/>
    <cellStyle name="Comma" xfId="1" builtinId="3"/>
    <cellStyle name="Comma 2" xfId="3" xr:uid="{00000000-0005-0000-0000-000003000000}"/>
    <cellStyle name="Normal" xfId="0" builtinId="0"/>
    <cellStyle name="Normal 3" xfId="4" xr:uid="{00000000-0005-0000-0000-000005000000}"/>
    <cellStyle name="Percent" xfId="6" builtinId="5"/>
    <cellStyle name="Percent 2" xfId="5" xr:uid="{00000000-0005-0000-0000-000007000000}"/>
  </cellStyles>
  <dxfs count="0"/>
  <tableStyles count="0" defaultTableStyle="TableStyleMedium2" defaultPivotStyle="PivotStyleLight16"/>
  <colors>
    <mruColors>
      <color rgb="FF99FF33"/>
      <color rgb="FF66FFFF"/>
      <color rgb="FFFFFF99"/>
      <color rgb="FFAAFF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19051</xdr:colOff>
      <xdr:row>1</xdr:row>
      <xdr:rowOff>12383</xdr:rowOff>
    </xdr:from>
    <xdr:to>
      <xdr:col>3</xdr:col>
      <xdr:colOff>419100</xdr:colOff>
      <xdr:row>3</xdr:row>
      <xdr:rowOff>50165</xdr:rowOff>
    </xdr:to>
    <xdr:sp macro="[0]!btn_RunWksReg_Click" textlink="">
      <xdr:nvSpPr>
        <xdr:cNvPr id="2" name="AutoShape 4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19051" y="361950"/>
          <a:ext cx="2411729" cy="377190"/>
        </a:xfrm>
        <a:prstGeom prst="roundRect">
          <a:avLst>
            <a:gd name="adj" fmla="val 18713"/>
          </a:avLst>
        </a:prstGeom>
        <a:solidFill>
          <a:srgbClr val="009530"/>
        </a:solidFill>
        <a:ln w="381000">
          <a:noFill/>
          <a:round/>
          <a:headEnd type="none" w="sm" len="sm"/>
          <a:tailEnd type="none" w="sm" len="sm"/>
        </a:ln>
        <a:effectLst/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fr-FR" sz="1800" b="1" i="0" u="none" strike="noStrike" baseline="0">
              <a:solidFill>
                <a:srgbClr val="FFFFFF"/>
              </a:solidFill>
              <a:latin typeface="+mn-lt"/>
              <a:cs typeface="Arial"/>
            </a:rPr>
            <a:t>Run MV Regression</a:t>
          </a:r>
          <a:endParaRPr lang="fr-FR" sz="1800" b="0" i="0" u="none" strike="noStrike" baseline="0">
            <a:solidFill>
              <a:srgbClr val="FFFFFF"/>
            </a:solidFill>
            <a:latin typeface="+mn-lt"/>
            <a:cs typeface="Arial"/>
          </a:endParaRPr>
        </a:p>
        <a:p>
          <a:pPr algn="r" rtl="0">
            <a:defRPr sz="1000"/>
          </a:pPr>
          <a:endParaRPr lang="fr-FR" sz="1400" b="0" i="0" u="none" strike="noStrike" baseline="0">
            <a:solidFill>
              <a:srgbClr val="FFFFFF"/>
            </a:solidFill>
            <a:latin typeface="+mn-lt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66675</xdr:rowOff>
    </xdr:from>
    <xdr:to>
      <xdr:col>2</xdr:col>
      <xdr:colOff>495300</xdr:colOff>
      <xdr:row>6</xdr:row>
      <xdr:rowOff>143398</xdr:rowOff>
    </xdr:to>
    <xdr:sp macro="[0]!RegressionFormat1" textlink="">
      <xdr:nvSpPr>
        <xdr:cNvPr id="3" name="Snip and Round Single Corner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1108710"/>
          <a:ext cx="1836420" cy="264683"/>
        </a:xfrm>
        <a:prstGeom prst="snipRoundRect">
          <a:avLst/>
        </a:prstGeom>
        <a:solidFill>
          <a:srgbClr val="B10043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Format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E">
  <a:themeElements>
    <a:clrScheme name="SE Life Green MS Office">
      <a:dk1>
        <a:sysClr val="windowText" lastClr="000000"/>
      </a:dk1>
      <a:lt1>
        <a:sysClr val="window" lastClr="FFFFFF"/>
      </a:lt1>
      <a:dk2>
        <a:srgbClr val="3DCD58"/>
      </a:dk2>
      <a:lt2>
        <a:srgbClr val="3DCD58"/>
      </a:lt2>
      <a:accent1>
        <a:srgbClr val="626469"/>
      </a:accent1>
      <a:accent2>
        <a:srgbClr val="9FA0A4"/>
      </a:accent2>
      <a:accent3>
        <a:srgbClr val="FFD100"/>
      </a:accent3>
      <a:accent4>
        <a:srgbClr val="E47F00"/>
      </a:accent4>
      <a:accent5>
        <a:srgbClr val="B10043"/>
      </a:accent5>
      <a:accent6>
        <a:srgbClr val="42B4E6"/>
      </a:accent6>
      <a:hlink>
        <a:srgbClr val="B10043"/>
      </a:hlink>
      <a:folHlink>
        <a:srgbClr val="42B4E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SE" id="{DE10691E-017C-4407-AE1B-7A801A9B7151}" vid="{EFAE3B52-8FC9-47A2-91E6-DDB814C0CBFB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F1:W366"/>
  <sheetViews>
    <sheetView zoomScale="60" zoomScaleNormal="6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H11" sqref="H11"/>
    </sheetView>
  </sheetViews>
  <sheetFormatPr defaultColWidth="8.83203125" defaultRowHeight="14" x14ac:dyDescent="0.3"/>
  <cols>
    <col min="1" max="1" width="8.83203125" style="1" customWidth="1"/>
    <col min="2" max="5" width="8.83203125" style="1"/>
    <col min="6" max="6" width="23.58203125" style="34" customWidth="1"/>
    <col min="7" max="11" width="14.58203125" style="2" customWidth="1"/>
    <col min="12" max="13" width="11.08203125" style="1" customWidth="1"/>
    <col min="14" max="14" width="40.58203125" style="1" customWidth="1"/>
    <col min="15" max="15" width="19.83203125" style="34" customWidth="1"/>
    <col min="16" max="16" width="28.08203125" style="34" customWidth="1"/>
    <col min="17" max="23" width="19.83203125" style="34" customWidth="1"/>
    <col min="24" max="16384" width="8.83203125" style="1"/>
  </cols>
  <sheetData>
    <row r="1" spans="6:23" ht="28" x14ac:dyDescent="0.3">
      <c r="F1" s="30" t="s">
        <v>0</v>
      </c>
      <c r="G1" s="41" t="s">
        <v>36</v>
      </c>
      <c r="H1" s="41" t="s">
        <v>37</v>
      </c>
      <c r="I1" s="41" t="s">
        <v>38</v>
      </c>
      <c r="J1" s="41" t="s">
        <v>39</v>
      </c>
      <c r="K1" s="41" t="s">
        <v>40</v>
      </c>
      <c r="L1" s="4"/>
      <c r="M1" s="4"/>
      <c r="N1" s="4"/>
      <c r="O1" s="30"/>
      <c r="P1" s="30"/>
      <c r="Q1" s="30"/>
      <c r="R1" s="30"/>
      <c r="S1" s="30"/>
      <c r="T1" s="30"/>
      <c r="U1" s="30"/>
      <c r="V1" s="30"/>
      <c r="W1" s="30"/>
    </row>
    <row r="2" spans="6:23" x14ac:dyDescent="0.3">
      <c r="F2" s="34">
        <v>2014</v>
      </c>
      <c r="G2" s="42">
        <v>54618</v>
      </c>
      <c r="H2" s="42">
        <v>2026566</v>
      </c>
      <c r="I2" s="42">
        <v>10.7</v>
      </c>
      <c r="J2" s="42">
        <v>9.31</v>
      </c>
      <c r="K2" s="42">
        <v>64619500</v>
      </c>
      <c r="L2" s="5"/>
      <c r="M2" s="5"/>
      <c r="N2" s="8" t="s">
        <v>44</v>
      </c>
      <c r="Q2" s="32"/>
      <c r="R2" s="32"/>
      <c r="S2" s="32"/>
      <c r="T2" s="32"/>
      <c r="U2" s="32"/>
      <c r="V2" s="32"/>
      <c r="W2" s="32"/>
    </row>
    <row r="3" spans="6:23" x14ac:dyDescent="0.3">
      <c r="F3" s="34">
        <v>2015</v>
      </c>
      <c r="G3" s="42">
        <v>54617</v>
      </c>
      <c r="H3" s="42">
        <v>2071561</v>
      </c>
      <c r="I3" s="42">
        <v>14.2</v>
      </c>
      <c r="J3" s="42">
        <v>9.33</v>
      </c>
      <c r="K3" s="42">
        <v>65088100</v>
      </c>
      <c r="L3" s="5"/>
      <c r="M3" s="5"/>
      <c r="N3" s="31" t="s">
        <v>49</v>
      </c>
      <c r="Q3" s="32"/>
      <c r="R3" s="32"/>
      <c r="S3" s="32"/>
      <c r="T3" s="32"/>
      <c r="U3" s="32"/>
      <c r="V3" s="32"/>
      <c r="W3" s="32"/>
    </row>
    <row r="4" spans="6:23" ht="14.5" thickBot="1" x14ac:dyDescent="0.35">
      <c r="F4" s="34">
        <v>2016</v>
      </c>
      <c r="G4" s="42">
        <v>56086</v>
      </c>
      <c r="H4" s="42">
        <v>2111357</v>
      </c>
      <c r="I4" s="42">
        <v>14.5</v>
      </c>
      <c r="J4" s="42">
        <v>9.35</v>
      </c>
      <c r="K4" s="42">
        <v>65607100</v>
      </c>
      <c r="L4" s="5"/>
      <c r="M4" s="5"/>
      <c r="N4" s="5"/>
      <c r="Q4" s="32"/>
      <c r="R4" s="32"/>
      <c r="S4" s="32"/>
      <c r="T4" s="32"/>
      <c r="U4" s="32"/>
      <c r="V4" s="32"/>
      <c r="W4" s="32"/>
    </row>
    <row r="5" spans="6:23" x14ac:dyDescent="0.3">
      <c r="F5" s="34">
        <v>2017</v>
      </c>
      <c r="G5" s="42">
        <v>57453</v>
      </c>
      <c r="H5" s="42">
        <v>2167415</v>
      </c>
      <c r="I5" s="42">
        <v>20.3</v>
      </c>
      <c r="J5" s="42">
        <v>9.3699999999999992</v>
      </c>
      <c r="K5" s="42">
        <v>65966000</v>
      </c>
      <c r="L5" s="5"/>
      <c r="M5" s="5"/>
      <c r="N5" s="49" t="s">
        <v>47</v>
      </c>
      <c r="O5" s="50"/>
      <c r="Q5" s="32"/>
      <c r="R5" s="32"/>
      <c r="S5" s="32"/>
      <c r="T5" s="32"/>
      <c r="U5" s="32"/>
      <c r="V5" s="32"/>
      <c r="W5" s="32"/>
    </row>
    <row r="6" spans="6:23" ht="14.5" thickBot="1" x14ac:dyDescent="0.35">
      <c r="F6" s="34">
        <v>2018</v>
      </c>
      <c r="G6" s="42">
        <v>57251</v>
      </c>
      <c r="H6" s="42">
        <v>2197841</v>
      </c>
      <c r="I6" s="42">
        <v>27.6</v>
      </c>
      <c r="J6" s="42">
        <v>9.3800000000000008</v>
      </c>
      <c r="K6" s="42">
        <v>66288900</v>
      </c>
      <c r="L6" s="5"/>
      <c r="M6" s="5"/>
      <c r="N6" s="51"/>
      <c r="O6" s="52"/>
      <c r="Q6" s="32"/>
      <c r="R6" s="32"/>
      <c r="S6" s="32"/>
      <c r="T6" s="32"/>
      <c r="U6" s="32"/>
      <c r="V6" s="32"/>
      <c r="W6" s="32"/>
    </row>
    <row r="7" spans="6:23" ht="14.5" thickBot="1" x14ac:dyDescent="0.35">
      <c r="F7" s="34">
        <v>2019</v>
      </c>
      <c r="G7" s="42">
        <v>56275</v>
      </c>
      <c r="H7" s="42">
        <v>2233921</v>
      </c>
      <c r="I7" s="42">
        <v>31.5</v>
      </c>
      <c r="J7" s="42">
        <v>9.39</v>
      </c>
      <c r="K7" s="42">
        <v>66630700</v>
      </c>
      <c r="L7" s="5"/>
      <c r="M7" s="5"/>
      <c r="N7" s="40" t="s">
        <v>46</v>
      </c>
      <c r="O7" s="37" t="s">
        <v>36</v>
      </c>
      <c r="Q7" s="32"/>
      <c r="R7" s="32"/>
      <c r="S7" s="32"/>
      <c r="T7" s="32"/>
      <c r="U7" s="32"/>
      <c r="V7" s="32"/>
      <c r="W7" s="32"/>
    </row>
    <row r="8" spans="6:23" x14ac:dyDescent="0.3">
      <c r="F8" s="34">
        <v>2020</v>
      </c>
      <c r="G8" s="42">
        <v>41712</v>
      </c>
      <c r="H8" s="42">
        <v>2002489</v>
      </c>
      <c r="I8" s="42">
        <v>37.5</v>
      </c>
      <c r="J8" s="42">
        <v>9.41</v>
      </c>
      <c r="K8" s="42">
        <v>66744100</v>
      </c>
      <c r="L8" s="5"/>
      <c r="M8" s="5"/>
      <c r="N8" s="38" t="s">
        <v>37</v>
      </c>
      <c r="O8" s="35">
        <v>56139.480227120621</v>
      </c>
      <c r="Q8" s="32"/>
      <c r="R8" s="32"/>
      <c r="S8" s="32"/>
      <c r="T8" s="32"/>
      <c r="U8" s="32"/>
      <c r="V8" s="32"/>
      <c r="W8" s="32"/>
    </row>
    <row r="9" spans="6:23" x14ac:dyDescent="0.3">
      <c r="F9" s="34">
        <v>2021</v>
      </c>
      <c r="G9" s="42">
        <v>44395</v>
      </c>
      <c r="H9" s="42">
        <v>2176203</v>
      </c>
      <c r="I9" s="42">
        <v>33.700000000000003</v>
      </c>
      <c r="J9" s="42">
        <v>9.41</v>
      </c>
      <c r="K9" s="42">
        <v>66983500</v>
      </c>
      <c r="L9" s="5"/>
      <c r="M9" s="5"/>
      <c r="N9" s="38" t="s">
        <v>38</v>
      </c>
      <c r="O9" s="35">
        <v>38523</v>
      </c>
      <c r="Q9" s="32"/>
      <c r="R9" s="32"/>
      <c r="S9" s="32"/>
      <c r="T9" s="32"/>
      <c r="U9" s="32"/>
      <c r="V9" s="32"/>
      <c r="W9" s="32"/>
    </row>
    <row r="10" spans="6:23" x14ac:dyDescent="0.3">
      <c r="F10" s="34">
        <v>2022</v>
      </c>
      <c r="G10" s="42">
        <v>50783</v>
      </c>
      <c r="H10" s="42">
        <v>2270764</v>
      </c>
      <c r="I10" s="42">
        <v>37.5</v>
      </c>
      <c r="J10" s="42">
        <v>9.42</v>
      </c>
      <c r="K10" s="42">
        <v>67602800</v>
      </c>
      <c r="L10" s="5"/>
      <c r="M10" s="5"/>
      <c r="N10" s="38" t="s">
        <v>45</v>
      </c>
      <c r="O10" s="35">
        <v>40320</v>
      </c>
      <c r="P10" s="32"/>
      <c r="Q10" s="32"/>
      <c r="R10" s="32"/>
      <c r="S10" s="32"/>
      <c r="T10" s="32"/>
      <c r="U10" s="32"/>
      <c r="V10" s="32"/>
      <c r="W10" s="32"/>
    </row>
    <row r="11" spans="6:23" ht="14.5" thickBot="1" x14ac:dyDescent="0.35">
      <c r="F11" s="45">
        <v>2029</v>
      </c>
      <c r="G11" s="43">
        <f>_xlfn.FORECAST.LINEAR(K11,G2:G10,K2:K10)</f>
        <v>41191.647541064041</v>
      </c>
      <c r="H11" s="44">
        <f>_xlfn.FORECAST.ETS(2029,H2:H10,F2:F10)</f>
        <v>2336451.1683898447</v>
      </c>
      <c r="I11" s="44">
        <f>_xlfn.FORECAST.ETS(2029,I2:I10,F2:F10)</f>
        <v>66.392940892087097</v>
      </c>
      <c r="J11" s="44">
        <f>_xlfn.FORECAST.ETS(2029,J2:J10,F2:F10)</f>
        <v>9.5161732011692095</v>
      </c>
      <c r="K11" s="44">
        <f>_xlfn.FORECAST.ETS(2029,K2:K10,F2:F10)</f>
        <v>69976505.774722725</v>
      </c>
      <c r="L11" s="5"/>
      <c r="M11" s="5"/>
      <c r="N11" s="39" t="s">
        <v>40</v>
      </c>
      <c r="O11" s="36">
        <v>41192</v>
      </c>
      <c r="P11" s="32"/>
      <c r="Q11" s="32"/>
      <c r="R11" s="32"/>
      <c r="S11" s="32"/>
      <c r="T11" s="32"/>
      <c r="U11" s="32"/>
      <c r="V11" s="32"/>
      <c r="W11" s="32"/>
    </row>
    <row r="12" spans="6:23" x14ac:dyDescent="0.3">
      <c r="F12" s="32"/>
      <c r="G12" s="3"/>
      <c r="H12" s="3"/>
      <c r="I12" s="3"/>
      <c r="J12" s="3"/>
      <c r="K12" s="3"/>
      <c r="L12" s="5"/>
      <c r="M12" s="5"/>
      <c r="N12" s="5"/>
      <c r="O12" s="32"/>
      <c r="P12" s="32"/>
      <c r="Q12" s="32"/>
      <c r="R12" s="32"/>
      <c r="S12" s="32"/>
      <c r="T12" s="32"/>
      <c r="U12" s="32"/>
      <c r="V12" s="32"/>
      <c r="W12" s="32"/>
    </row>
    <row r="13" spans="6:23" ht="14.15" customHeight="1" x14ac:dyDescent="0.3">
      <c r="F13" s="32"/>
      <c r="G13" s="3"/>
      <c r="H13" s="3"/>
      <c r="I13" s="3"/>
      <c r="J13" s="3"/>
      <c r="K13" s="3"/>
      <c r="L13" s="5"/>
      <c r="M13" s="5"/>
      <c r="N13" s="53" t="s">
        <v>48</v>
      </c>
      <c r="O13" s="53"/>
      <c r="P13" s="32"/>
      <c r="Q13" s="32"/>
      <c r="R13" s="32"/>
      <c r="S13" s="32"/>
      <c r="T13" s="32"/>
      <c r="U13" s="32"/>
      <c r="V13" s="32"/>
      <c r="W13" s="32"/>
    </row>
    <row r="14" spans="6:23" x14ac:dyDescent="0.3">
      <c r="F14" s="32"/>
      <c r="G14" s="3"/>
      <c r="H14" s="3"/>
      <c r="I14" s="3"/>
      <c r="J14" s="3"/>
      <c r="K14" s="3"/>
      <c r="L14" s="5"/>
      <c r="M14" s="5"/>
      <c r="N14" s="53"/>
      <c r="O14" s="53"/>
      <c r="P14" s="32"/>
      <c r="Q14" s="32"/>
      <c r="R14" s="32"/>
      <c r="S14" s="32"/>
      <c r="T14" s="32"/>
      <c r="U14" s="32"/>
      <c r="V14" s="32"/>
      <c r="W14" s="32"/>
    </row>
    <row r="15" spans="6:23" x14ac:dyDescent="0.3">
      <c r="F15" s="32"/>
      <c r="G15" s="3"/>
      <c r="H15" s="3"/>
      <c r="I15" s="3"/>
      <c r="J15" s="3"/>
      <c r="K15" s="3"/>
      <c r="L15" s="5"/>
      <c r="M15" s="5"/>
      <c r="N15" s="53"/>
      <c r="O15" s="53"/>
      <c r="P15" s="32"/>
      <c r="Q15" s="32"/>
      <c r="R15" s="32"/>
      <c r="S15" s="32"/>
      <c r="T15" s="32"/>
      <c r="U15" s="32"/>
      <c r="V15" s="32"/>
      <c r="W15" s="32"/>
    </row>
    <row r="16" spans="6:23" x14ac:dyDescent="0.3">
      <c r="F16" s="32"/>
      <c r="G16" s="3"/>
      <c r="H16" s="3"/>
      <c r="I16" s="3"/>
      <c r="J16" s="3"/>
      <c r="K16" s="3"/>
      <c r="L16" s="5"/>
      <c r="M16" s="5"/>
      <c r="N16" s="53"/>
      <c r="O16" s="53"/>
      <c r="P16" s="32"/>
      <c r="Q16" s="32"/>
      <c r="R16" s="32"/>
      <c r="S16" s="32"/>
      <c r="T16" s="32"/>
      <c r="U16" s="32"/>
      <c r="V16" s="32"/>
      <c r="W16" s="32"/>
    </row>
    <row r="17" spans="6:23" x14ac:dyDescent="0.3">
      <c r="F17" s="32"/>
      <c r="G17" s="3"/>
      <c r="H17" s="3"/>
      <c r="I17" s="3"/>
      <c r="J17" s="3"/>
      <c r="K17" s="3"/>
      <c r="L17" s="5"/>
      <c r="M17" s="5"/>
      <c r="N17" s="53"/>
      <c r="O17" s="53"/>
      <c r="P17" s="32"/>
      <c r="Q17" s="32"/>
      <c r="R17" s="32"/>
      <c r="S17" s="32"/>
      <c r="T17" s="32"/>
      <c r="U17" s="32"/>
      <c r="V17" s="32"/>
      <c r="W17" s="32"/>
    </row>
    <row r="18" spans="6:23" x14ac:dyDescent="0.3">
      <c r="F18" s="32"/>
      <c r="G18" s="3"/>
      <c r="H18" s="3"/>
      <c r="I18" s="3"/>
      <c r="J18" s="3"/>
      <c r="K18" s="3"/>
      <c r="L18" s="5"/>
      <c r="M18" s="5"/>
      <c r="N18" s="5"/>
      <c r="O18" s="32"/>
      <c r="P18" s="32"/>
      <c r="Q18" s="32"/>
      <c r="R18" s="32"/>
      <c r="S18" s="32"/>
      <c r="T18" s="32"/>
      <c r="U18" s="32"/>
      <c r="V18" s="32"/>
      <c r="W18" s="32"/>
    </row>
    <row r="19" spans="6:23" x14ac:dyDescent="0.3">
      <c r="F19" s="32"/>
      <c r="G19" s="3"/>
      <c r="H19" s="3"/>
      <c r="I19" s="3"/>
      <c r="J19" s="3"/>
      <c r="K19" s="3"/>
      <c r="L19" s="5"/>
      <c r="M19" s="5"/>
      <c r="N19" s="5"/>
      <c r="O19" s="32"/>
      <c r="P19" s="32"/>
      <c r="Q19" s="32"/>
      <c r="R19" s="32"/>
      <c r="S19" s="32"/>
      <c r="T19" s="32"/>
      <c r="U19" s="32"/>
      <c r="V19" s="32"/>
      <c r="W19" s="32"/>
    </row>
    <row r="20" spans="6:23" x14ac:dyDescent="0.3">
      <c r="F20" s="32"/>
      <c r="G20" s="3"/>
      <c r="H20" s="3"/>
      <c r="I20" s="3"/>
      <c r="J20" s="3"/>
      <c r="K20" s="3"/>
      <c r="L20" s="5"/>
      <c r="M20" s="5"/>
      <c r="N20" s="5"/>
      <c r="O20" s="32"/>
      <c r="P20" s="32"/>
      <c r="Q20" s="32"/>
      <c r="R20" s="32"/>
      <c r="S20" s="32"/>
      <c r="T20" s="32"/>
      <c r="U20" s="32"/>
      <c r="V20" s="32"/>
      <c r="W20" s="32"/>
    </row>
    <row r="21" spans="6:23" x14ac:dyDescent="0.3">
      <c r="F21" s="32"/>
      <c r="G21" s="3"/>
      <c r="H21" s="3"/>
      <c r="I21" s="3"/>
      <c r="J21" s="3"/>
      <c r="K21" s="3"/>
      <c r="L21" s="5"/>
      <c r="M21" s="5"/>
      <c r="N21" s="5"/>
      <c r="O21" s="32"/>
      <c r="P21" s="32"/>
      <c r="Q21" s="32"/>
      <c r="R21" s="32"/>
      <c r="S21" s="32"/>
      <c r="T21" s="32"/>
      <c r="U21" s="32"/>
      <c r="V21" s="32"/>
      <c r="W21" s="32"/>
    </row>
    <row r="22" spans="6:23" x14ac:dyDescent="0.3">
      <c r="F22" s="32"/>
      <c r="G22" s="3"/>
      <c r="H22" s="3"/>
      <c r="I22" s="3"/>
      <c r="J22" s="3"/>
      <c r="K22" s="3"/>
      <c r="L22" s="5"/>
      <c r="M22" s="5"/>
      <c r="N22" s="5"/>
      <c r="O22" s="32"/>
      <c r="P22" s="32"/>
      <c r="Q22" s="32"/>
      <c r="R22" s="32"/>
      <c r="S22" s="32"/>
      <c r="T22" s="32"/>
      <c r="U22" s="32"/>
      <c r="V22" s="32"/>
      <c r="W22" s="32"/>
    </row>
    <row r="23" spans="6:23" x14ac:dyDescent="0.3">
      <c r="F23" s="32"/>
      <c r="G23" s="3"/>
      <c r="H23" s="3"/>
      <c r="I23" s="3"/>
      <c r="J23" s="3"/>
      <c r="K23" s="3"/>
      <c r="L23" s="5"/>
      <c r="M23" s="5"/>
      <c r="N23" s="5"/>
      <c r="O23" s="32"/>
      <c r="P23" s="32"/>
      <c r="Q23" s="32"/>
      <c r="R23" s="32"/>
      <c r="S23" s="32"/>
      <c r="T23" s="32"/>
      <c r="U23" s="32"/>
      <c r="V23" s="32"/>
      <c r="W23" s="32"/>
    </row>
    <row r="24" spans="6:23" x14ac:dyDescent="0.3">
      <c r="F24" s="32"/>
      <c r="G24" s="3"/>
      <c r="H24" s="3"/>
      <c r="I24" s="3"/>
      <c r="J24" s="3"/>
      <c r="K24" s="3"/>
      <c r="L24" s="5"/>
      <c r="M24" s="5"/>
      <c r="N24" s="5"/>
      <c r="O24" s="32"/>
      <c r="P24" s="32"/>
      <c r="Q24" s="32"/>
      <c r="R24" s="32"/>
      <c r="S24" s="32"/>
      <c r="T24" s="32"/>
      <c r="U24" s="32"/>
      <c r="V24" s="32"/>
      <c r="W24" s="32"/>
    </row>
    <row r="25" spans="6:23" x14ac:dyDescent="0.3">
      <c r="F25" s="32"/>
      <c r="G25" s="3"/>
      <c r="H25" s="3"/>
      <c r="I25" s="3"/>
      <c r="J25" s="3"/>
      <c r="K25" s="3"/>
      <c r="L25" s="5"/>
      <c r="M25" s="5"/>
      <c r="N25" s="5"/>
      <c r="O25" s="32"/>
      <c r="P25" s="32"/>
      <c r="Q25" s="32"/>
      <c r="R25" s="32"/>
      <c r="S25" s="32"/>
      <c r="T25" s="32"/>
      <c r="U25" s="32"/>
      <c r="V25" s="32"/>
      <c r="W25" s="32"/>
    </row>
    <row r="26" spans="6:23" x14ac:dyDescent="0.3">
      <c r="F26" s="32"/>
      <c r="G26" s="3"/>
      <c r="H26" s="3"/>
      <c r="I26" s="3"/>
      <c r="J26" s="3"/>
      <c r="K26" s="3"/>
      <c r="L26" s="5"/>
      <c r="M26" s="5"/>
      <c r="N26" s="5"/>
      <c r="O26" s="32"/>
      <c r="P26" s="32"/>
      <c r="Q26" s="32"/>
      <c r="R26" s="32"/>
      <c r="S26" s="32"/>
      <c r="T26" s="32"/>
      <c r="U26" s="32"/>
      <c r="V26" s="32"/>
      <c r="W26" s="32"/>
    </row>
    <row r="27" spans="6:23" x14ac:dyDescent="0.3">
      <c r="F27" s="32"/>
      <c r="G27" s="3"/>
      <c r="H27" s="3"/>
      <c r="I27" s="3"/>
      <c r="J27" s="3"/>
      <c r="K27" s="3"/>
      <c r="L27" s="5"/>
      <c r="M27" s="5"/>
      <c r="N27" s="5"/>
      <c r="O27" s="32"/>
      <c r="P27" s="32"/>
      <c r="Q27" s="32"/>
      <c r="R27" s="32"/>
      <c r="S27" s="32"/>
      <c r="T27" s="32"/>
      <c r="U27" s="32"/>
      <c r="V27" s="32"/>
      <c r="W27" s="32"/>
    </row>
    <row r="28" spans="6:23" x14ac:dyDescent="0.3">
      <c r="F28" s="32"/>
      <c r="G28" s="3"/>
      <c r="H28" s="3"/>
      <c r="I28" s="3"/>
      <c r="J28" s="3"/>
      <c r="K28" s="3"/>
      <c r="L28" s="5"/>
      <c r="M28" s="5"/>
      <c r="N28" s="5"/>
      <c r="O28" s="32"/>
      <c r="P28" s="32"/>
      <c r="Q28" s="32"/>
      <c r="R28" s="32"/>
      <c r="S28" s="32"/>
      <c r="T28" s="32"/>
      <c r="U28" s="32"/>
      <c r="V28" s="32"/>
      <c r="W28" s="32"/>
    </row>
    <row r="29" spans="6:23" x14ac:dyDescent="0.3">
      <c r="F29" s="32"/>
      <c r="G29" s="3"/>
      <c r="H29" s="3"/>
      <c r="I29" s="3"/>
      <c r="J29" s="3"/>
      <c r="K29" s="3"/>
      <c r="L29" s="5"/>
      <c r="M29" s="5"/>
      <c r="N29" s="5"/>
      <c r="O29" s="32"/>
      <c r="P29" s="32"/>
      <c r="Q29" s="32"/>
      <c r="R29" s="32"/>
      <c r="S29" s="32"/>
      <c r="T29" s="32"/>
      <c r="U29" s="32"/>
      <c r="V29" s="32"/>
      <c r="W29" s="32"/>
    </row>
    <row r="30" spans="6:23" x14ac:dyDescent="0.3">
      <c r="F30" s="32"/>
      <c r="G30" s="3"/>
      <c r="H30" s="3"/>
      <c r="I30" s="3"/>
      <c r="J30" s="3"/>
      <c r="K30" s="3"/>
      <c r="L30" s="5"/>
      <c r="M30" s="5"/>
      <c r="N30" s="5"/>
      <c r="O30" s="32"/>
      <c r="P30" s="32"/>
      <c r="Q30" s="32"/>
      <c r="R30" s="32"/>
      <c r="S30" s="32"/>
      <c r="T30" s="32"/>
      <c r="U30" s="32"/>
      <c r="V30" s="32"/>
      <c r="W30" s="32"/>
    </row>
    <row r="31" spans="6:23" x14ac:dyDescent="0.3">
      <c r="F31" s="32"/>
      <c r="G31" s="3"/>
      <c r="H31" s="3"/>
      <c r="I31" s="3"/>
      <c r="J31" s="3"/>
      <c r="K31" s="3"/>
      <c r="L31" s="5"/>
      <c r="M31" s="5"/>
      <c r="N31" s="5"/>
      <c r="O31" s="32"/>
      <c r="P31" s="32"/>
      <c r="Q31" s="32"/>
      <c r="R31" s="32"/>
      <c r="S31" s="32"/>
      <c r="T31" s="32"/>
      <c r="U31" s="32"/>
      <c r="V31" s="32"/>
      <c r="W31" s="32"/>
    </row>
    <row r="32" spans="6:23" x14ac:dyDescent="0.3">
      <c r="F32" s="32"/>
      <c r="G32" s="3"/>
      <c r="H32" s="3"/>
      <c r="I32" s="3"/>
      <c r="J32" s="3"/>
      <c r="K32" s="3"/>
      <c r="L32" s="5"/>
      <c r="M32" s="5"/>
      <c r="N32" s="5"/>
      <c r="O32" s="32"/>
      <c r="P32" s="32"/>
      <c r="Q32" s="32"/>
      <c r="R32" s="32"/>
      <c r="S32" s="32"/>
      <c r="T32" s="32"/>
      <c r="U32" s="32"/>
      <c r="V32" s="32"/>
      <c r="W32" s="32"/>
    </row>
    <row r="33" spans="6:23" x14ac:dyDescent="0.3">
      <c r="F33" s="32"/>
      <c r="G33" s="3"/>
      <c r="H33" s="3"/>
      <c r="I33" s="3"/>
      <c r="J33" s="3"/>
      <c r="K33" s="3"/>
      <c r="L33" s="5"/>
      <c r="M33" s="5"/>
      <c r="N33" s="5"/>
      <c r="O33" s="32"/>
      <c r="P33" s="32"/>
      <c r="Q33" s="32"/>
      <c r="R33" s="32"/>
      <c r="S33" s="32"/>
      <c r="T33" s="32"/>
      <c r="U33" s="32"/>
      <c r="V33" s="32"/>
      <c r="W33" s="32"/>
    </row>
    <row r="34" spans="6:23" x14ac:dyDescent="0.3">
      <c r="F34" s="32"/>
      <c r="G34" s="3"/>
      <c r="H34" s="3"/>
      <c r="I34" s="3"/>
      <c r="J34" s="3"/>
      <c r="K34" s="3"/>
      <c r="L34" s="5"/>
      <c r="M34" s="5"/>
      <c r="N34" s="5"/>
      <c r="O34" s="32"/>
      <c r="P34" s="32"/>
      <c r="Q34" s="32"/>
      <c r="R34" s="32"/>
      <c r="S34" s="32"/>
      <c r="T34" s="32"/>
      <c r="U34" s="32"/>
      <c r="V34" s="32"/>
      <c r="W34" s="32"/>
    </row>
    <row r="35" spans="6:23" x14ac:dyDescent="0.3">
      <c r="F35" s="32"/>
      <c r="G35" s="3"/>
      <c r="H35" s="3"/>
      <c r="I35" s="3"/>
      <c r="J35" s="3"/>
      <c r="K35" s="3"/>
      <c r="L35" s="5"/>
      <c r="M35" s="5"/>
      <c r="N35" s="5"/>
      <c r="O35" s="32"/>
      <c r="P35" s="32"/>
      <c r="Q35" s="32"/>
      <c r="R35" s="32"/>
      <c r="S35" s="32"/>
      <c r="T35" s="32"/>
      <c r="U35" s="32"/>
      <c r="V35" s="32"/>
      <c r="W35" s="32"/>
    </row>
    <row r="36" spans="6:23" x14ac:dyDescent="0.3">
      <c r="F36" s="32"/>
      <c r="G36" s="3"/>
      <c r="H36" s="3"/>
      <c r="I36" s="3"/>
      <c r="J36" s="3"/>
      <c r="K36" s="3"/>
      <c r="L36" s="5"/>
      <c r="M36" s="5"/>
      <c r="N36" s="5"/>
      <c r="O36" s="32"/>
      <c r="P36" s="32"/>
      <c r="Q36" s="32"/>
      <c r="R36" s="32"/>
      <c r="S36" s="32"/>
      <c r="T36" s="32"/>
      <c r="U36" s="32"/>
      <c r="V36" s="32"/>
      <c r="W36" s="32"/>
    </row>
    <row r="37" spans="6:23" x14ac:dyDescent="0.3">
      <c r="F37" s="32"/>
      <c r="G37" s="3"/>
      <c r="H37" s="3"/>
      <c r="I37" s="3"/>
      <c r="J37" s="3"/>
      <c r="K37" s="3"/>
      <c r="L37" s="5"/>
      <c r="M37" s="5"/>
      <c r="N37" s="5"/>
      <c r="O37" s="32"/>
      <c r="P37" s="32"/>
      <c r="Q37" s="32"/>
      <c r="R37" s="32"/>
      <c r="S37" s="32"/>
      <c r="T37" s="32"/>
      <c r="U37" s="32"/>
      <c r="V37" s="32"/>
      <c r="W37" s="32"/>
    </row>
    <row r="38" spans="6:23" x14ac:dyDescent="0.3">
      <c r="F38" s="32"/>
      <c r="G38" s="3"/>
      <c r="H38" s="3"/>
      <c r="I38" s="3"/>
      <c r="J38" s="3"/>
      <c r="K38" s="3"/>
      <c r="L38" s="5"/>
      <c r="M38" s="5"/>
      <c r="N38" s="5"/>
      <c r="O38" s="32"/>
      <c r="P38" s="32"/>
      <c r="Q38" s="32"/>
      <c r="R38" s="32"/>
      <c r="S38" s="32"/>
      <c r="T38" s="32"/>
      <c r="U38" s="32"/>
      <c r="V38" s="32"/>
      <c r="W38" s="32"/>
    </row>
    <row r="39" spans="6:23" x14ac:dyDescent="0.3">
      <c r="F39" s="32"/>
      <c r="G39" s="3"/>
      <c r="H39" s="3"/>
      <c r="I39" s="3"/>
      <c r="J39" s="3"/>
      <c r="K39" s="3"/>
      <c r="L39" s="5"/>
      <c r="M39" s="5"/>
      <c r="N39" s="5"/>
      <c r="O39" s="32"/>
      <c r="P39" s="32"/>
      <c r="Q39" s="32"/>
      <c r="R39" s="32"/>
      <c r="S39" s="32"/>
      <c r="T39" s="32"/>
      <c r="U39" s="32"/>
      <c r="V39" s="32"/>
      <c r="W39" s="32"/>
    </row>
    <row r="40" spans="6:23" x14ac:dyDescent="0.3">
      <c r="F40" s="32"/>
      <c r="G40" s="3"/>
      <c r="H40" s="3"/>
      <c r="I40" s="3"/>
      <c r="J40" s="3"/>
      <c r="K40" s="3"/>
      <c r="L40" s="5"/>
      <c r="M40" s="5"/>
      <c r="N40" s="5"/>
      <c r="O40" s="32"/>
      <c r="P40" s="32"/>
      <c r="Q40" s="32"/>
      <c r="R40" s="32"/>
      <c r="S40" s="32"/>
      <c r="T40" s="32"/>
      <c r="U40" s="32"/>
      <c r="V40" s="32"/>
      <c r="W40" s="32"/>
    </row>
    <row r="41" spans="6:23" x14ac:dyDescent="0.3">
      <c r="F41" s="32"/>
      <c r="G41" s="3"/>
      <c r="H41" s="3"/>
      <c r="I41" s="3"/>
      <c r="J41" s="3"/>
      <c r="K41" s="3"/>
      <c r="L41" s="5"/>
      <c r="M41" s="5"/>
      <c r="N41" s="5"/>
      <c r="O41" s="32"/>
      <c r="P41" s="32"/>
      <c r="Q41" s="32"/>
      <c r="R41" s="32"/>
      <c r="S41" s="32"/>
      <c r="T41" s="32"/>
      <c r="U41" s="32"/>
      <c r="V41" s="32"/>
      <c r="W41" s="32"/>
    </row>
    <row r="42" spans="6:23" x14ac:dyDescent="0.3">
      <c r="F42" s="32"/>
      <c r="G42" s="3"/>
      <c r="H42" s="3"/>
      <c r="I42" s="3"/>
      <c r="J42" s="3"/>
      <c r="K42" s="3"/>
      <c r="L42" s="5"/>
      <c r="M42" s="5"/>
      <c r="N42" s="5"/>
      <c r="O42" s="32"/>
      <c r="P42" s="32"/>
      <c r="Q42" s="32"/>
      <c r="R42" s="32"/>
      <c r="S42" s="32"/>
      <c r="T42" s="32"/>
      <c r="U42" s="32"/>
      <c r="V42" s="32"/>
      <c r="W42" s="32"/>
    </row>
    <row r="43" spans="6:23" x14ac:dyDescent="0.3">
      <c r="F43" s="32"/>
      <c r="G43" s="3"/>
      <c r="H43" s="3"/>
      <c r="I43" s="3"/>
      <c r="J43" s="3"/>
      <c r="K43" s="3"/>
      <c r="L43" s="5"/>
      <c r="M43" s="5"/>
      <c r="N43" s="5"/>
      <c r="O43" s="32"/>
      <c r="P43" s="32"/>
      <c r="Q43" s="32"/>
      <c r="R43" s="32"/>
      <c r="S43" s="32"/>
      <c r="T43" s="32"/>
      <c r="U43" s="32"/>
      <c r="V43" s="32"/>
      <c r="W43" s="32"/>
    </row>
    <row r="44" spans="6:23" x14ac:dyDescent="0.3">
      <c r="F44" s="32"/>
      <c r="G44" s="3"/>
      <c r="H44" s="3"/>
      <c r="I44" s="3"/>
      <c r="J44" s="3"/>
      <c r="K44" s="3"/>
      <c r="L44" s="5"/>
      <c r="M44" s="5"/>
      <c r="N44" s="5"/>
      <c r="O44" s="32"/>
      <c r="P44" s="32"/>
      <c r="Q44" s="32"/>
      <c r="R44" s="32"/>
      <c r="S44" s="32"/>
      <c r="T44" s="32"/>
      <c r="U44" s="32"/>
      <c r="V44" s="32"/>
      <c r="W44" s="32"/>
    </row>
    <row r="45" spans="6:23" x14ac:dyDescent="0.3">
      <c r="F45" s="32"/>
      <c r="G45" s="3"/>
      <c r="H45" s="3"/>
      <c r="I45" s="3"/>
      <c r="J45" s="3"/>
      <c r="K45" s="3"/>
      <c r="L45" s="5"/>
      <c r="M45" s="5"/>
      <c r="N45" s="5"/>
      <c r="O45" s="32"/>
      <c r="P45" s="32"/>
      <c r="Q45" s="32"/>
      <c r="R45" s="32"/>
      <c r="S45" s="32"/>
      <c r="T45" s="32"/>
      <c r="U45" s="32"/>
      <c r="V45" s="32"/>
      <c r="W45" s="32"/>
    </row>
    <row r="46" spans="6:23" x14ac:dyDescent="0.3">
      <c r="F46" s="32"/>
      <c r="G46" s="3"/>
      <c r="H46" s="3"/>
      <c r="I46" s="3"/>
      <c r="J46" s="3"/>
      <c r="K46" s="3"/>
      <c r="L46" s="5"/>
      <c r="M46" s="5"/>
      <c r="N46" s="5"/>
      <c r="O46" s="32"/>
      <c r="P46" s="32"/>
      <c r="Q46" s="32"/>
      <c r="R46" s="32"/>
      <c r="S46" s="32"/>
      <c r="T46" s="32"/>
      <c r="U46" s="32"/>
      <c r="V46" s="32"/>
      <c r="W46" s="32"/>
    </row>
    <row r="47" spans="6:23" x14ac:dyDescent="0.3">
      <c r="F47" s="32"/>
      <c r="G47" s="3"/>
      <c r="H47" s="3"/>
      <c r="I47" s="3"/>
      <c r="J47" s="3"/>
      <c r="K47" s="3"/>
      <c r="L47" s="5"/>
      <c r="M47" s="5"/>
      <c r="N47" s="5"/>
      <c r="O47" s="32"/>
      <c r="P47" s="32"/>
      <c r="Q47" s="32"/>
      <c r="R47" s="32"/>
      <c r="S47" s="32"/>
      <c r="T47" s="32"/>
      <c r="U47" s="32"/>
      <c r="V47" s="32"/>
      <c r="W47" s="32"/>
    </row>
    <row r="48" spans="6:23" x14ac:dyDescent="0.3">
      <c r="F48" s="32"/>
      <c r="G48" s="3"/>
      <c r="H48" s="3"/>
      <c r="I48" s="3"/>
      <c r="J48" s="3"/>
      <c r="K48" s="3"/>
      <c r="L48" s="5"/>
      <c r="M48" s="5"/>
      <c r="N48" s="5"/>
      <c r="O48" s="32"/>
      <c r="P48" s="32"/>
      <c r="Q48" s="32"/>
      <c r="R48" s="32"/>
      <c r="S48" s="32"/>
      <c r="T48" s="32"/>
      <c r="U48" s="32"/>
      <c r="V48" s="32"/>
      <c r="W48" s="32"/>
    </row>
    <row r="49" spans="6:23" x14ac:dyDescent="0.3">
      <c r="F49" s="32"/>
      <c r="G49" s="3"/>
      <c r="H49" s="3"/>
      <c r="I49" s="3"/>
      <c r="J49" s="3"/>
      <c r="K49" s="3"/>
      <c r="L49" s="5"/>
      <c r="M49" s="5"/>
      <c r="N49" s="5"/>
      <c r="O49" s="32"/>
      <c r="P49" s="32"/>
      <c r="Q49" s="32"/>
      <c r="R49" s="32"/>
      <c r="S49" s="32"/>
      <c r="T49" s="32"/>
      <c r="U49" s="32"/>
      <c r="V49" s="32"/>
      <c r="W49" s="32"/>
    </row>
    <row r="50" spans="6:23" x14ac:dyDescent="0.3">
      <c r="F50" s="32"/>
      <c r="G50" s="3"/>
      <c r="H50" s="3"/>
      <c r="I50" s="3"/>
      <c r="J50" s="3"/>
      <c r="K50" s="3"/>
      <c r="L50" s="5"/>
      <c r="M50" s="5"/>
      <c r="N50" s="5"/>
      <c r="O50" s="32"/>
      <c r="P50" s="32"/>
      <c r="Q50" s="32"/>
      <c r="R50" s="32"/>
      <c r="S50" s="32"/>
      <c r="T50" s="32"/>
      <c r="U50" s="32"/>
      <c r="V50" s="32"/>
      <c r="W50" s="32"/>
    </row>
    <row r="51" spans="6:23" x14ac:dyDescent="0.3">
      <c r="F51" s="32"/>
      <c r="G51" s="3"/>
      <c r="H51" s="3"/>
      <c r="I51" s="3"/>
      <c r="J51" s="3"/>
      <c r="K51" s="3"/>
      <c r="L51" s="5"/>
      <c r="M51" s="5"/>
      <c r="N51" s="5"/>
      <c r="O51" s="32"/>
      <c r="P51" s="32"/>
      <c r="Q51" s="32"/>
      <c r="R51" s="32"/>
      <c r="S51" s="32"/>
      <c r="T51" s="32"/>
      <c r="U51" s="32"/>
      <c r="V51" s="32"/>
      <c r="W51" s="32"/>
    </row>
    <row r="52" spans="6:23" x14ac:dyDescent="0.3">
      <c r="F52" s="32"/>
      <c r="G52" s="3"/>
      <c r="H52" s="3"/>
      <c r="I52" s="3"/>
      <c r="J52" s="3"/>
      <c r="K52" s="3"/>
      <c r="L52" s="5"/>
      <c r="M52" s="5"/>
      <c r="N52" s="5"/>
      <c r="O52" s="32"/>
      <c r="P52" s="32"/>
      <c r="Q52" s="32"/>
      <c r="R52" s="32"/>
      <c r="S52" s="32"/>
      <c r="T52" s="32"/>
      <c r="U52" s="32"/>
      <c r="V52" s="32"/>
      <c r="W52" s="32"/>
    </row>
    <row r="53" spans="6:23" x14ac:dyDescent="0.3">
      <c r="F53" s="32"/>
      <c r="G53" s="3"/>
      <c r="H53" s="3"/>
      <c r="I53" s="3"/>
      <c r="J53" s="3"/>
      <c r="K53" s="3"/>
      <c r="L53" s="5"/>
      <c r="M53" s="5"/>
      <c r="N53" s="5"/>
      <c r="O53" s="32"/>
      <c r="P53" s="32"/>
      <c r="Q53" s="32"/>
      <c r="R53" s="32"/>
      <c r="S53" s="32"/>
      <c r="T53" s="32"/>
      <c r="U53" s="32"/>
      <c r="V53" s="32"/>
      <c r="W53" s="32"/>
    </row>
    <row r="54" spans="6:23" x14ac:dyDescent="0.3">
      <c r="F54" s="32"/>
      <c r="G54" s="3"/>
      <c r="H54" s="3"/>
      <c r="I54" s="3"/>
      <c r="J54" s="3"/>
      <c r="K54" s="3"/>
      <c r="L54" s="5"/>
      <c r="M54" s="5"/>
      <c r="N54" s="5"/>
      <c r="O54" s="32"/>
      <c r="P54" s="32"/>
      <c r="Q54" s="32"/>
      <c r="R54" s="32"/>
      <c r="S54" s="32"/>
      <c r="T54" s="32"/>
      <c r="U54" s="32"/>
      <c r="V54" s="32"/>
      <c r="W54" s="32"/>
    </row>
    <row r="55" spans="6:23" x14ac:dyDescent="0.3">
      <c r="F55" s="32"/>
      <c r="G55" s="3"/>
      <c r="H55" s="3"/>
      <c r="I55" s="3"/>
      <c r="J55" s="3"/>
      <c r="K55" s="3"/>
      <c r="L55" s="5"/>
      <c r="M55" s="5"/>
      <c r="N55" s="5"/>
      <c r="O55" s="32"/>
      <c r="P55" s="32"/>
      <c r="Q55" s="32"/>
      <c r="R55" s="32"/>
      <c r="S55" s="32"/>
      <c r="T55" s="32"/>
      <c r="U55" s="32"/>
      <c r="V55" s="32"/>
      <c r="W55" s="32"/>
    </row>
    <row r="56" spans="6:23" x14ac:dyDescent="0.3">
      <c r="F56" s="32"/>
      <c r="G56" s="3"/>
      <c r="H56" s="3"/>
      <c r="I56" s="3"/>
      <c r="J56" s="3"/>
      <c r="K56" s="3"/>
      <c r="L56" s="5"/>
      <c r="M56" s="5"/>
      <c r="N56" s="5"/>
      <c r="O56" s="32"/>
      <c r="P56" s="32"/>
      <c r="Q56" s="32"/>
      <c r="R56" s="32"/>
      <c r="S56" s="32"/>
      <c r="T56" s="32"/>
      <c r="U56" s="32"/>
      <c r="V56" s="32"/>
      <c r="W56" s="32"/>
    </row>
    <row r="57" spans="6:23" x14ac:dyDescent="0.3">
      <c r="F57" s="32"/>
      <c r="G57" s="3"/>
      <c r="H57" s="3"/>
      <c r="I57" s="3"/>
      <c r="J57" s="3"/>
      <c r="K57" s="3"/>
      <c r="L57" s="5"/>
      <c r="M57" s="5"/>
      <c r="N57" s="5"/>
      <c r="O57" s="32"/>
      <c r="P57" s="32"/>
      <c r="Q57" s="32"/>
      <c r="R57" s="32"/>
      <c r="S57" s="32"/>
      <c r="T57" s="32"/>
      <c r="U57" s="32"/>
      <c r="V57" s="32"/>
      <c r="W57" s="32"/>
    </row>
    <row r="58" spans="6:23" x14ac:dyDescent="0.3">
      <c r="F58" s="32"/>
      <c r="G58" s="3"/>
      <c r="H58" s="3"/>
      <c r="I58" s="3"/>
      <c r="J58" s="3"/>
      <c r="K58" s="3"/>
      <c r="L58" s="5"/>
      <c r="M58" s="5"/>
      <c r="N58" s="5"/>
      <c r="O58" s="32"/>
      <c r="P58" s="32"/>
      <c r="Q58" s="32"/>
      <c r="R58" s="32"/>
      <c r="S58" s="32"/>
      <c r="T58" s="32"/>
      <c r="U58" s="32"/>
      <c r="V58" s="32"/>
      <c r="W58" s="32"/>
    </row>
    <row r="59" spans="6:23" x14ac:dyDescent="0.3">
      <c r="F59" s="32"/>
      <c r="G59" s="3"/>
      <c r="H59" s="3"/>
      <c r="I59" s="3"/>
      <c r="J59" s="3"/>
      <c r="K59" s="3"/>
      <c r="L59" s="5"/>
      <c r="M59" s="5"/>
      <c r="N59" s="5"/>
      <c r="O59" s="32"/>
      <c r="P59" s="32"/>
      <c r="Q59" s="32"/>
      <c r="R59" s="32"/>
      <c r="S59" s="32"/>
      <c r="T59" s="32"/>
      <c r="U59" s="32"/>
      <c r="V59" s="32"/>
      <c r="W59" s="32"/>
    </row>
    <row r="60" spans="6:23" x14ac:dyDescent="0.3">
      <c r="F60" s="32"/>
      <c r="G60" s="3"/>
      <c r="H60" s="3"/>
      <c r="I60" s="3"/>
      <c r="J60" s="3"/>
      <c r="K60" s="3"/>
      <c r="L60" s="5"/>
      <c r="M60" s="5"/>
      <c r="N60" s="5"/>
      <c r="O60" s="32"/>
      <c r="P60" s="32"/>
      <c r="Q60" s="32"/>
      <c r="R60" s="32"/>
      <c r="S60" s="32"/>
      <c r="T60" s="32"/>
      <c r="U60" s="32"/>
      <c r="V60" s="32"/>
      <c r="W60" s="32"/>
    </row>
    <row r="61" spans="6:23" x14ac:dyDescent="0.3">
      <c r="F61" s="32"/>
      <c r="G61" s="3"/>
      <c r="H61" s="3"/>
      <c r="I61" s="3"/>
      <c r="J61" s="3"/>
      <c r="K61" s="3"/>
      <c r="L61" s="5"/>
      <c r="M61" s="5"/>
      <c r="N61" s="5"/>
      <c r="O61" s="32"/>
      <c r="P61" s="32"/>
      <c r="Q61" s="32"/>
      <c r="R61" s="32"/>
      <c r="S61" s="32"/>
      <c r="T61" s="32"/>
      <c r="U61" s="32"/>
      <c r="V61" s="32"/>
      <c r="W61" s="32"/>
    </row>
    <row r="62" spans="6:23" x14ac:dyDescent="0.3">
      <c r="F62" s="32"/>
      <c r="G62" s="3"/>
      <c r="H62" s="3"/>
      <c r="I62" s="3"/>
      <c r="J62" s="3"/>
      <c r="K62" s="3"/>
      <c r="L62" s="5"/>
      <c r="M62" s="5"/>
      <c r="N62" s="5"/>
      <c r="O62" s="32"/>
      <c r="P62" s="32"/>
      <c r="Q62" s="32"/>
      <c r="R62" s="32"/>
      <c r="S62" s="32"/>
      <c r="T62" s="32"/>
      <c r="U62" s="32"/>
      <c r="V62" s="32"/>
      <c r="W62" s="32"/>
    </row>
    <row r="63" spans="6:23" x14ac:dyDescent="0.3">
      <c r="F63" s="32"/>
      <c r="G63" s="7"/>
      <c r="H63" s="7"/>
      <c r="I63" s="7"/>
      <c r="J63" s="7"/>
      <c r="K63" s="7"/>
      <c r="L63" s="8"/>
      <c r="M63" s="5"/>
      <c r="N63" s="5"/>
      <c r="O63" s="32"/>
      <c r="P63" s="32"/>
      <c r="Q63" s="32"/>
      <c r="R63" s="32"/>
      <c r="S63" s="32"/>
      <c r="T63" s="32"/>
      <c r="U63" s="32"/>
      <c r="V63" s="32"/>
      <c r="W63" s="32"/>
    </row>
    <row r="64" spans="6:23" s="9" customFormat="1" x14ac:dyDescent="0.3">
      <c r="F64" s="32"/>
      <c r="G64" s="3"/>
      <c r="H64" s="3"/>
      <c r="I64" s="3"/>
      <c r="J64" s="3"/>
      <c r="K64" s="3"/>
      <c r="L64" s="5"/>
      <c r="M64" s="5"/>
      <c r="N64" s="5"/>
      <c r="O64" s="32"/>
      <c r="P64" s="32"/>
      <c r="Q64" s="32"/>
      <c r="R64" s="32"/>
      <c r="S64" s="32"/>
      <c r="T64" s="32"/>
      <c r="U64" s="32"/>
      <c r="V64" s="32"/>
      <c r="W64" s="32"/>
    </row>
    <row r="65" spans="6:23" x14ac:dyDescent="0.3">
      <c r="F65" s="32"/>
      <c r="G65" s="3"/>
      <c r="H65" s="3"/>
      <c r="I65" s="3"/>
      <c r="J65" s="3"/>
      <c r="K65" s="3"/>
      <c r="L65" s="5"/>
      <c r="M65" s="5"/>
      <c r="N65" s="5"/>
      <c r="O65" s="32"/>
      <c r="P65" s="32"/>
      <c r="Q65" s="32"/>
      <c r="R65" s="32"/>
      <c r="S65" s="32"/>
      <c r="T65" s="32"/>
      <c r="U65" s="32"/>
      <c r="V65" s="32"/>
      <c r="W65" s="32"/>
    </row>
    <row r="66" spans="6:23" x14ac:dyDescent="0.3">
      <c r="F66" s="32"/>
      <c r="G66" s="3"/>
      <c r="H66" s="3"/>
      <c r="I66" s="3"/>
      <c r="J66" s="3"/>
      <c r="K66" s="3"/>
      <c r="L66" s="5"/>
      <c r="M66" s="5"/>
      <c r="N66" s="5"/>
      <c r="O66" s="32"/>
      <c r="P66" s="32"/>
      <c r="Q66" s="32"/>
      <c r="R66" s="32"/>
      <c r="S66" s="32"/>
      <c r="T66" s="32"/>
      <c r="U66" s="32"/>
      <c r="V66" s="32"/>
      <c r="W66" s="32"/>
    </row>
    <row r="67" spans="6:23" x14ac:dyDescent="0.3">
      <c r="F67" s="32"/>
      <c r="G67" s="3"/>
      <c r="H67" s="3"/>
      <c r="I67" s="3"/>
      <c r="J67" s="3"/>
      <c r="K67" s="3"/>
      <c r="L67" s="5"/>
      <c r="M67" s="5"/>
      <c r="N67" s="5"/>
      <c r="O67" s="32"/>
      <c r="P67" s="32"/>
      <c r="Q67" s="32"/>
      <c r="R67" s="32"/>
      <c r="S67" s="32"/>
      <c r="T67" s="32"/>
      <c r="U67" s="32"/>
      <c r="V67" s="32"/>
      <c r="W67" s="32"/>
    </row>
    <row r="68" spans="6:23" x14ac:dyDescent="0.3">
      <c r="F68" s="32"/>
      <c r="G68" s="3"/>
      <c r="H68" s="3"/>
      <c r="I68" s="3"/>
      <c r="J68" s="3"/>
      <c r="K68" s="3"/>
      <c r="L68" s="5"/>
      <c r="M68" s="5"/>
      <c r="N68" s="5"/>
      <c r="O68" s="32"/>
      <c r="P68" s="32"/>
      <c r="Q68" s="32"/>
      <c r="R68" s="32"/>
      <c r="S68" s="32"/>
      <c r="T68" s="32"/>
      <c r="U68" s="32"/>
      <c r="V68" s="32"/>
      <c r="W68" s="32"/>
    </row>
    <row r="69" spans="6:23" x14ac:dyDescent="0.3">
      <c r="F69" s="32"/>
      <c r="G69" s="3"/>
      <c r="H69" s="3"/>
      <c r="I69" s="3"/>
      <c r="J69" s="3"/>
      <c r="K69" s="3"/>
      <c r="L69" s="5"/>
      <c r="M69" s="5"/>
      <c r="N69" s="5"/>
      <c r="O69" s="32"/>
      <c r="P69" s="32"/>
      <c r="Q69" s="32"/>
      <c r="R69" s="32"/>
      <c r="S69" s="32"/>
      <c r="T69" s="32"/>
      <c r="U69" s="32"/>
      <c r="V69" s="32"/>
      <c r="W69" s="32"/>
    </row>
    <row r="70" spans="6:23" x14ac:dyDescent="0.3">
      <c r="F70" s="32"/>
      <c r="G70" s="3"/>
      <c r="H70" s="3"/>
      <c r="I70" s="3"/>
      <c r="J70" s="3"/>
      <c r="K70" s="3"/>
      <c r="L70" s="5"/>
      <c r="M70" s="5"/>
      <c r="N70" s="5"/>
      <c r="O70" s="32"/>
      <c r="P70" s="32"/>
      <c r="Q70" s="32"/>
      <c r="R70" s="32"/>
      <c r="S70" s="32"/>
      <c r="T70" s="32"/>
      <c r="U70" s="32"/>
      <c r="V70" s="32"/>
      <c r="W70" s="32"/>
    </row>
    <row r="71" spans="6:23" x14ac:dyDescent="0.3">
      <c r="F71" s="32"/>
      <c r="G71" s="3"/>
      <c r="H71" s="3"/>
      <c r="I71" s="3"/>
      <c r="J71" s="3"/>
      <c r="K71" s="3"/>
      <c r="L71" s="5"/>
      <c r="M71" s="5"/>
      <c r="N71" s="5"/>
      <c r="O71" s="32"/>
      <c r="P71" s="32"/>
      <c r="Q71" s="32"/>
      <c r="R71" s="32"/>
      <c r="S71" s="32"/>
      <c r="T71" s="32"/>
      <c r="U71" s="32"/>
      <c r="V71" s="32"/>
      <c r="W71" s="32"/>
    </row>
    <row r="72" spans="6:23" x14ac:dyDescent="0.3">
      <c r="F72" s="32"/>
      <c r="G72" s="3"/>
      <c r="H72" s="3"/>
      <c r="I72" s="3"/>
      <c r="J72" s="3"/>
      <c r="K72" s="3"/>
      <c r="L72" s="5"/>
      <c r="M72" s="5"/>
      <c r="N72" s="5"/>
      <c r="O72" s="32"/>
      <c r="P72" s="32"/>
      <c r="Q72" s="32"/>
      <c r="R72" s="32"/>
      <c r="S72" s="32"/>
      <c r="T72" s="32"/>
      <c r="U72" s="32"/>
      <c r="V72" s="32"/>
      <c r="W72" s="32"/>
    </row>
    <row r="73" spans="6:23" x14ac:dyDescent="0.3">
      <c r="F73" s="32"/>
      <c r="G73" s="3"/>
      <c r="H73" s="3"/>
      <c r="I73" s="3"/>
      <c r="J73" s="3"/>
      <c r="K73" s="3"/>
      <c r="L73" s="5"/>
      <c r="M73" s="5"/>
      <c r="N73" s="5"/>
      <c r="O73" s="32"/>
      <c r="P73" s="32"/>
      <c r="Q73" s="32"/>
      <c r="R73" s="32"/>
      <c r="S73" s="32"/>
      <c r="T73" s="32"/>
      <c r="U73" s="32"/>
      <c r="V73" s="32"/>
      <c r="W73" s="32"/>
    </row>
    <row r="74" spans="6:23" x14ac:dyDescent="0.3">
      <c r="F74" s="32"/>
      <c r="G74" s="3"/>
      <c r="H74" s="3"/>
      <c r="I74" s="3"/>
      <c r="J74" s="3"/>
      <c r="K74" s="3"/>
      <c r="L74" s="5"/>
      <c r="M74" s="5"/>
      <c r="N74" s="5"/>
      <c r="O74" s="32"/>
      <c r="P74" s="32"/>
      <c r="Q74" s="32"/>
      <c r="R74" s="32"/>
      <c r="S74" s="32"/>
      <c r="T74" s="32"/>
      <c r="U74" s="32"/>
      <c r="V74" s="32"/>
      <c r="W74" s="32"/>
    </row>
    <row r="75" spans="6:23" x14ac:dyDescent="0.3">
      <c r="F75" s="32"/>
      <c r="G75" s="3"/>
      <c r="H75" s="3"/>
      <c r="I75" s="3"/>
      <c r="J75" s="3"/>
      <c r="K75" s="3"/>
      <c r="L75" s="5"/>
      <c r="M75" s="5"/>
      <c r="N75" s="5"/>
      <c r="O75" s="32"/>
      <c r="P75" s="32"/>
      <c r="Q75" s="32"/>
      <c r="R75" s="32"/>
      <c r="S75" s="32"/>
      <c r="T75" s="32"/>
      <c r="U75" s="32"/>
      <c r="V75" s="32"/>
      <c r="W75" s="32"/>
    </row>
    <row r="76" spans="6:23" x14ac:dyDescent="0.3">
      <c r="F76" s="32"/>
      <c r="G76" s="3"/>
      <c r="H76" s="3"/>
      <c r="I76" s="3"/>
      <c r="J76" s="3"/>
      <c r="K76" s="3"/>
      <c r="L76" s="5"/>
      <c r="M76" s="5"/>
      <c r="N76" s="5"/>
      <c r="O76" s="32"/>
      <c r="P76" s="32"/>
      <c r="Q76" s="32"/>
      <c r="R76" s="32"/>
      <c r="S76" s="32"/>
      <c r="T76" s="32"/>
      <c r="U76" s="32"/>
      <c r="V76" s="32"/>
      <c r="W76" s="32"/>
    </row>
    <row r="77" spans="6:23" x14ac:dyDescent="0.3">
      <c r="F77" s="32"/>
      <c r="G77" s="3"/>
      <c r="H77" s="3"/>
      <c r="I77" s="3"/>
      <c r="J77" s="3"/>
      <c r="K77" s="3"/>
      <c r="L77" s="5"/>
      <c r="M77" s="5"/>
      <c r="N77" s="5"/>
      <c r="O77" s="32"/>
      <c r="P77" s="32"/>
      <c r="Q77" s="32"/>
      <c r="R77" s="32"/>
      <c r="S77" s="32"/>
      <c r="T77" s="32"/>
      <c r="U77" s="32"/>
      <c r="V77" s="32"/>
      <c r="W77" s="32"/>
    </row>
    <row r="78" spans="6:23" x14ac:dyDescent="0.3">
      <c r="F78" s="32"/>
      <c r="G78" s="3"/>
      <c r="H78" s="3"/>
      <c r="I78" s="3"/>
      <c r="J78" s="3"/>
      <c r="K78" s="3"/>
      <c r="L78" s="5"/>
      <c r="M78" s="5"/>
      <c r="N78" s="5"/>
      <c r="O78" s="32"/>
      <c r="P78" s="32"/>
      <c r="Q78" s="32"/>
      <c r="R78" s="32"/>
      <c r="S78" s="32"/>
      <c r="T78" s="32"/>
      <c r="U78" s="32"/>
      <c r="V78" s="32"/>
      <c r="W78" s="32"/>
    </row>
    <row r="79" spans="6:23" x14ac:dyDescent="0.3">
      <c r="F79" s="32"/>
      <c r="G79" s="3"/>
      <c r="H79" s="3"/>
      <c r="I79" s="3"/>
      <c r="J79" s="3"/>
      <c r="K79" s="3"/>
      <c r="L79" s="5"/>
      <c r="M79" s="5"/>
      <c r="N79" s="5"/>
      <c r="O79" s="32"/>
      <c r="P79" s="32"/>
      <c r="Q79" s="32"/>
      <c r="R79" s="32"/>
      <c r="S79" s="32"/>
      <c r="T79" s="32"/>
      <c r="U79" s="32"/>
      <c r="V79" s="32"/>
      <c r="W79" s="32"/>
    </row>
    <row r="80" spans="6:23" x14ac:dyDescent="0.3">
      <c r="F80" s="32"/>
      <c r="G80" s="3"/>
      <c r="H80" s="3"/>
      <c r="I80" s="3"/>
      <c r="J80" s="3"/>
      <c r="K80" s="3"/>
      <c r="L80" s="5"/>
      <c r="M80" s="5"/>
      <c r="N80" s="5"/>
      <c r="O80" s="32"/>
      <c r="P80" s="32"/>
      <c r="Q80" s="32"/>
      <c r="R80" s="32"/>
      <c r="S80" s="32"/>
      <c r="T80" s="32"/>
      <c r="U80" s="32"/>
      <c r="V80" s="32"/>
      <c r="W80" s="32"/>
    </row>
    <row r="81" spans="6:23" x14ac:dyDescent="0.3">
      <c r="F81" s="32"/>
      <c r="G81" s="3"/>
      <c r="H81" s="3"/>
      <c r="I81" s="3"/>
      <c r="J81" s="3"/>
      <c r="K81" s="3"/>
      <c r="L81" s="5"/>
      <c r="M81" s="5"/>
      <c r="N81" s="5"/>
      <c r="O81" s="32"/>
      <c r="P81" s="32"/>
      <c r="Q81" s="32"/>
      <c r="R81" s="32"/>
      <c r="S81" s="32"/>
      <c r="T81" s="32"/>
      <c r="U81" s="32"/>
      <c r="V81" s="32"/>
      <c r="W81" s="32"/>
    </row>
    <row r="82" spans="6:23" x14ac:dyDescent="0.3">
      <c r="F82" s="32"/>
      <c r="G82" s="3"/>
      <c r="H82" s="3"/>
      <c r="I82" s="3"/>
      <c r="J82" s="3"/>
      <c r="K82" s="3"/>
      <c r="L82" s="5"/>
      <c r="M82" s="5"/>
      <c r="N82" s="5"/>
      <c r="O82" s="32"/>
      <c r="P82" s="32"/>
      <c r="Q82" s="32"/>
      <c r="R82" s="32"/>
      <c r="S82" s="32"/>
      <c r="T82" s="32"/>
      <c r="U82" s="32"/>
      <c r="V82" s="32"/>
      <c r="W82" s="32"/>
    </row>
    <row r="83" spans="6:23" x14ac:dyDescent="0.3">
      <c r="F83" s="32"/>
      <c r="G83" s="3"/>
      <c r="H83" s="3"/>
      <c r="I83" s="3"/>
      <c r="J83" s="3"/>
      <c r="K83" s="3"/>
      <c r="L83" s="5"/>
      <c r="M83" s="5"/>
      <c r="N83" s="5"/>
      <c r="O83" s="32"/>
      <c r="P83" s="32"/>
      <c r="Q83" s="32"/>
      <c r="R83" s="32"/>
      <c r="S83" s="32"/>
      <c r="T83" s="32"/>
      <c r="U83" s="32"/>
      <c r="V83" s="32"/>
      <c r="W83" s="32"/>
    </row>
    <row r="84" spans="6:23" x14ac:dyDescent="0.3">
      <c r="F84" s="32"/>
      <c r="G84" s="3"/>
      <c r="H84" s="3"/>
      <c r="I84" s="3"/>
      <c r="J84" s="3"/>
      <c r="K84" s="3"/>
      <c r="L84" s="5"/>
      <c r="M84" s="5"/>
      <c r="N84" s="5"/>
      <c r="O84" s="32"/>
      <c r="P84" s="32"/>
      <c r="Q84" s="32"/>
      <c r="R84" s="32"/>
      <c r="S84" s="32"/>
      <c r="T84" s="32"/>
      <c r="U84" s="32"/>
      <c r="V84" s="32"/>
      <c r="W84" s="32"/>
    </row>
    <row r="85" spans="6:23" x14ac:dyDescent="0.3">
      <c r="F85" s="32"/>
      <c r="G85" s="3"/>
      <c r="H85" s="3"/>
      <c r="I85" s="3"/>
      <c r="J85" s="3"/>
      <c r="K85" s="3"/>
      <c r="L85" s="5"/>
      <c r="M85" s="5"/>
      <c r="N85" s="5"/>
      <c r="O85" s="32"/>
      <c r="P85" s="32"/>
      <c r="Q85" s="32"/>
      <c r="R85" s="32"/>
      <c r="S85" s="32"/>
      <c r="T85" s="32"/>
      <c r="U85" s="32"/>
      <c r="V85" s="32"/>
      <c r="W85" s="32"/>
    </row>
    <row r="86" spans="6:23" x14ac:dyDescent="0.3">
      <c r="F86" s="32"/>
      <c r="G86" s="3"/>
      <c r="H86" s="3"/>
      <c r="I86" s="3"/>
      <c r="J86" s="3"/>
      <c r="K86" s="3"/>
      <c r="L86" s="5"/>
      <c r="M86" s="5"/>
      <c r="N86" s="5"/>
      <c r="O86" s="32"/>
      <c r="P86" s="32"/>
      <c r="Q86" s="32"/>
      <c r="R86" s="32"/>
      <c r="S86" s="32"/>
      <c r="T86" s="32"/>
      <c r="U86" s="32"/>
      <c r="V86" s="32"/>
      <c r="W86" s="32"/>
    </row>
    <row r="87" spans="6:23" x14ac:dyDescent="0.3">
      <c r="F87" s="32"/>
      <c r="G87" s="3"/>
      <c r="H87" s="3"/>
      <c r="I87" s="3"/>
      <c r="J87" s="3"/>
      <c r="K87" s="3"/>
      <c r="L87" s="5"/>
      <c r="M87" s="5"/>
      <c r="N87" s="5"/>
      <c r="O87" s="32"/>
      <c r="P87" s="32"/>
      <c r="Q87" s="32"/>
      <c r="R87" s="32"/>
      <c r="S87" s="32"/>
      <c r="T87" s="32"/>
      <c r="U87" s="32"/>
      <c r="V87" s="32"/>
      <c r="W87" s="32"/>
    </row>
    <row r="88" spans="6:23" x14ac:dyDescent="0.3">
      <c r="F88" s="32"/>
      <c r="G88" s="3"/>
      <c r="H88" s="3"/>
      <c r="I88" s="3"/>
      <c r="J88" s="3"/>
      <c r="K88" s="3"/>
      <c r="L88" s="5"/>
      <c r="M88" s="5"/>
      <c r="N88" s="5"/>
      <c r="O88" s="32"/>
      <c r="P88" s="32"/>
      <c r="Q88" s="32"/>
      <c r="R88" s="32"/>
      <c r="S88" s="32"/>
      <c r="T88" s="32"/>
      <c r="U88" s="32"/>
      <c r="V88" s="32"/>
      <c r="W88" s="32"/>
    </row>
    <row r="89" spans="6:23" x14ac:dyDescent="0.3">
      <c r="F89" s="32"/>
      <c r="G89" s="3"/>
      <c r="H89" s="3"/>
      <c r="I89" s="3"/>
      <c r="J89" s="3"/>
      <c r="K89" s="3"/>
      <c r="L89" s="5"/>
      <c r="M89" s="5"/>
      <c r="N89" s="5"/>
      <c r="O89" s="32"/>
      <c r="P89" s="32"/>
      <c r="Q89" s="32"/>
      <c r="R89" s="32"/>
      <c r="S89" s="32"/>
      <c r="T89" s="32"/>
      <c r="U89" s="32"/>
      <c r="V89" s="32"/>
      <c r="W89" s="32"/>
    </row>
    <row r="90" spans="6:23" x14ac:dyDescent="0.3">
      <c r="F90" s="32"/>
      <c r="G90" s="3"/>
      <c r="H90" s="3"/>
      <c r="I90" s="3"/>
      <c r="J90" s="3"/>
      <c r="K90" s="3"/>
      <c r="L90" s="5"/>
      <c r="M90" s="5"/>
      <c r="N90" s="5"/>
      <c r="O90" s="32"/>
      <c r="P90" s="32"/>
      <c r="Q90" s="32"/>
      <c r="R90" s="32"/>
      <c r="S90" s="32"/>
      <c r="T90" s="32"/>
      <c r="U90" s="32"/>
      <c r="V90" s="32"/>
      <c r="W90" s="32"/>
    </row>
    <row r="91" spans="6:23" x14ac:dyDescent="0.3">
      <c r="F91" s="32"/>
      <c r="G91" s="3"/>
      <c r="H91" s="3"/>
      <c r="I91" s="3"/>
      <c r="J91" s="3"/>
      <c r="K91" s="3"/>
      <c r="L91" s="5"/>
      <c r="M91" s="5"/>
      <c r="N91" s="5"/>
      <c r="O91" s="32"/>
      <c r="P91" s="32"/>
      <c r="Q91" s="32"/>
      <c r="R91" s="32"/>
      <c r="S91" s="32"/>
      <c r="T91" s="32"/>
      <c r="U91" s="32"/>
      <c r="V91" s="32"/>
      <c r="W91" s="32"/>
    </row>
    <row r="92" spans="6:23" x14ac:dyDescent="0.3">
      <c r="F92" s="32"/>
      <c r="G92" s="3"/>
      <c r="H92" s="3"/>
      <c r="I92" s="3"/>
      <c r="J92" s="3"/>
      <c r="K92" s="3"/>
      <c r="L92" s="5"/>
      <c r="M92" s="5"/>
      <c r="N92" s="5"/>
      <c r="O92" s="32"/>
      <c r="P92" s="32"/>
      <c r="Q92" s="32"/>
      <c r="R92" s="32"/>
      <c r="S92" s="32"/>
      <c r="T92" s="32"/>
      <c r="U92" s="32"/>
      <c r="V92" s="32"/>
      <c r="W92" s="32"/>
    </row>
    <row r="93" spans="6:23" x14ac:dyDescent="0.3">
      <c r="F93" s="32"/>
      <c r="G93" s="3"/>
      <c r="H93" s="3"/>
      <c r="I93" s="3"/>
      <c r="J93" s="3"/>
      <c r="K93" s="3"/>
      <c r="L93" s="5"/>
      <c r="M93" s="5"/>
      <c r="N93" s="5"/>
      <c r="O93" s="32"/>
      <c r="P93" s="32"/>
      <c r="Q93" s="32"/>
      <c r="R93" s="32"/>
      <c r="S93" s="32"/>
      <c r="T93" s="32"/>
      <c r="U93" s="32"/>
      <c r="V93" s="32"/>
      <c r="W93" s="32"/>
    </row>
    <row r="94" spans="6:23" x14ac:dyDescent="0.3">
      <c r="F94" s="32"/>
      <c r="G94" s="3"/>
      <c r="H94" s="3"/>
      <c r="I94" s="3"/>
      <c r="J94" s="3"/>
      <c r="K94" s="3"/>
      <c r="L94" s="5"/>
      <c r="M94" s="5"/>
      <c r="N94" s="5"/>
      <c r="O94" s="32"/>
      <c r="P94" s="32"/>
      <c r="Q94" s="32"/>
      <c r="R94" s="32"/>
      <c r="S94" s="32"/>
      <c r="T94" s="32"/>
      <c r="U94" s="32"/>
      <c r="V94" s="32"/>
      <c r="W94" s="32"/>
    </row>
    <row r="95" spans="6:23" x14ac:dyDescent="0.3">
      <c r="F95" s="32"/>
      <c r="G95" s="3"/>
      <c r="H95" s="3"/>
      <c r="I95" s="3"/>
      <c r="J95" s="3"/>
      <c r="K95" s="3"/>
      <c r="L95" s="5"/>
      <c r="M95" s="5"/>
      <c r="N95" s="5"/>
      <c r="O95" s="32"/>
      <c r="P95" s="32"/>
      <c r="Q95" s="32"/>
      <c r="R95" s="32"/>
      <c r="S95" s="32"/>
      <c r="T95" s="32"/>
      <c r="U95" s="32"/>
      <c r="V95" s="32"/>
      <c r="W95" s="32"/>
    </row>
    <row r="96" spans="6:23" x14ac:dyDescent="0.3">
      <c r="F96" s="32"/>
      <c r="G96" s="7"/>
      <c r="H96" s="7"/>
      <c r="I96" s="7"/>
      <c r="J96" s="7"/>
      <c r="K96" s="7"/>
      <c r="L96" s="8"/>
      <c r="M96" s="5"/>
      <c r="N96" s="5"/>
      <c r="O96" s="32"/>
      <c r="P96" s="32"/>
      <c r="Q96" s="32"/>
      <c r="R96" s="32"/>
      <c r="S96" s="32"/>
      <c r="T96" s="32"/>
      <c r="U96" s="32"/>
      <c r="V96" s="32"/>
      <c r="W96" s="32"/>
    </row>
    <row r="97" spans="6:23" s="9" customFormat="1" x14ac:dyDescent="0.3">
      <c r="F97" s="32"/>
      <c r="G97" s="3"/>
      <c r="H97" s="3"/>
      <c r="I97" s="3"/>
      <c r="J97" s="3"/>
      <c r="K97" s="3"/>
      <c r="L97" s="5"/>
      <c r="M97" s="5"/>
      <c r="N97" s="5"/>
      <c r="O97" s="32"/>
      <c r="P97" s="32"/>
      <c r="Q97" s="32"/>
      <c r="R97" s="32"/>
      <c r="S97" s="32"/>
      <c r="T97" s="32"/>
      <c r="U97" s="32"/>
      <c r="V97" s="32"/>
      <c r="W97" s="32"/>
    </row>
    <row r="98" spans="6:23" x14ac:dyDescent="0.3">
      <c r="F98" s="32"/>
      <c r="G98" s="3"/>
      <c r="H98" s="3"/>
      <c r="I98" s="3"/>
      <c r="J98" s="3"/>
      <c r="K98" s="3"/>
      <c r="L98" s="5"/>
      <c r="M98" s="5"/>
      <c r="N98" s="5"/>
      <c r="O98" s="32"/>
      <c r="P98" s="32"/>
      <c r="Q98" s="32"/>
      <c r="R98" s="32"/>
      <c r="S98" s="32"/>
      <c r="T98" s="32"/>
      <c r="U98" s="32"/>
      <c r="V98" s="32"/>
      <c r="W98" s="32"/>
    </row>
    <row r="99" spans="6:23" x14ac:dyDescent="0.3">
      <c r="F99" s="32"/>
      <c r="G99" s="3"/>
      <c r="H99" s="3"/>
      <c r="I99" s="3"/>
      <c r="J99" s="3"/>
      <c r="K99" s="3"/>
      <c r="L99" s="5"/>
      <c r="M99" s="5"/>
      <c r="N99" s="5"/>
      <c r="O99" s="32"/>
      <c r="P99" s="32"/>
      <c r="Q99" s="32"/>
      <c r="R99" s="32"/>
      <c r="S99" s="32"/>
      <c r="T99" s="32"/>
      <c r="U99" s="32"/>
      <c r="V99" s="32"/>
      <c r="W99" s="32"/>
    </row>
    <row r="100" spans="6:23" x14ac:dyDescent="0.3">
      <c r="F100" s="32"/>
      <c r="G100" s="3"/>
      <c r="H100" s="3"/>
      <c r="I100" s="3"/>
      <c r="J100" s="3"/>
      <c r="K100" s="3"/>
      <c r="L100" s="5"/>
      <c r="M100" s="5"/>
      <c r="N100" s="5"/>
      <c r="O100" s="32"/>
      <c r="P100" s="32"/>
      <c r="Q100" s="32"/>
      <c r="R100" s="32"/>
      <c r="S100" s="32"/>
      <c r="T100" s="32"/>
      <c r="U100" s="32"/>
      <c r="V100" s="32"/>
      <c r="W100" s="32"/>
    </row>
    <row r="101" spans="6:23" x14ac:dyDescent="0.3">
      <c r="F101" s="32"/>
      <c r="G101" s="3"/>
      <c r="H101" s="3"/>
      <c r="I101" s="3"/>
      <c r="J101" s="3"/>
      <c r="K101" s="3"/>
      <c r="L101" s="5"/>
      <c r="M101" s="5"/>
      <c r="N101" s="5"/>
      <c r="O101" s="32"/>
      <c r="P101" s="32"/>
      <c r="Q101" s="32"/>
      <c r="R101" s="32"/>
      <c r="S101" s="32"/>
      <c r="T101" s="32"/>
      <c r="U101" s="32"/>
      <c r="V101" s="32"/>
      <c r="W101" s="32"/>
    </row>
    <row r="102" spans="6:23" x14ac:dyDescent="0.3">
      <c r="F102" s="32"/>
      <c r="G102" s="3"/>
      <c r="H102" s="3"/>
      <c r="I102" s="3"/>
      <c r="J102" s="3"/>
      <c r="K102" s="3"/>
      <c r="L102" s="5"/>
      <c r="M102" s="5"/>
      <c r="N102" s="5"/>
      <c r="O102" s="32"/>
      <c r="P102" s="32"/>
      <c r="Q102" s="32"/>
      <c r="R102" s="32"/>
      <c r="S102" s="32"/>
      <c r="T102" s="32"/>
      <c r="U102" s="32"/>
      <c r="V102" s="32"/>
      <c r="W102" s="32"/>
    </row>
    <row r="103" spans="6:23" x14ac:dyDescent="0.3">
      <c r="F103" s="32"/>
      <c r="G103" s="3"/>
      <c r="H103" s="3"/>
      <c r="I103" s="3"/>
      <c r="J103" s="3"/>
      <c r="K103" s="3"/>
      <c r="L103" s="5"/>
      <c r="M103" s="5"/>
      <c r="N103" s="5"/>
      <c r="O103" s="32"/>
      <c r="P103" s="32"/>
      <c r="Q103" s="32"/>
      <c r="R103" s="32"/>
      <c r="S103" s="32"/>
      <c r="T103" s="32"/>
      <c r="U103" s="32"/>
      <c r="V103" s="32"/>
      <c r="W103" s="32"/>
    </row>
    <row r="104" spans="6:23" x14ac:dyDescent="0.3">
      <c r="F104" s="32"/>
      <c r="G104" s="3"/>
      <c r="H104" s="3"/>
      <c r="I104" s="3"/>
      <c r="J104" s="3"/>
      <c r="K104" s="3"/>
      <c r="L104" s="5"/>
      <c r="M104" s="5"/>
      <c r="N104" s="5"/>
      <c r="O104" s="32"/>
      <c r="P104" s="32"/>
      <c r="Q104" s="32"/>
      <c r="R104" s="32"/>
      <c r="S104" s="32"/>
      <c r="T104" s="32"/>
      <c r="U104" s="32"/>
      <c r="V104" s="32"/>
      <c r="W104" s="32"/>
    </row>
    <row r="105" spans="6:23" x14ac:dyDescent="0.3">
      <c r="F105" s="32"/>
      <c r="G105" s="3"/>
      <c r="H105" s="3"/>
      <c r="I105" s="3"/>
      <c r="J105" s="3"/>
      <c r="K105" s="3"/>
      <c r="L105" s="5"/>
      <c r="M105" s="5"/>
      <c r="N105" s="5"/>
      <c r="O105" s="32"/>
      <c r="P105" s="32"/>
      <c r="Q105" s="32"/>
      <c r="R105" s="32"/>
      <c r="S105" s="32"/>
      <c r="T105" s="32"/>
      <c r="U105" s="32"/>
      <c r="V105" s="32"/>
      <c r="W105" s="32"/>
    </row>
    <row r="106" spans="6:23" x14ac:dyDescent="0.3">
      <c r="F106" s="32"/>
      <c r="G106" s="3"/>
      <c r="H106" s="3"/>
      <c r="I106" s="3"/>
      <c r="J106" s="3"/>
      <c r="K106" s="3"/>
      <c r="L106" s="5"/>
      <c r="M106" s="5"/>
      <c r="N106" s="5"/>
      <c r="O106" s="32"/>
      <c r="P106" s="32"/>
      <c r="Q106" s="32"/>
      <c r="R106" s="32"/>
      <c r="S106" s="32"/>
      <c r="T106" s="32"/>
      <c r="U106" s="32"/>
      <c r="V106" s="32"/>
      <c r="W106" s="32"/>
    </row>
    <row r="107" spans="6:23" x14ac:dyDescent="0.3">
      <c r="F107" s="32"/>
      <c r="G107" s="3"/>
      <c r="H107" s="3"/>
      <c r="I107" s="3"/>
      <c r="J107" s="3"/>
      <c r="K107" s="3"/>
      <c r="L107" s="5"/>
      <c r="M107" s="5"/>
      <c r="N107" s="5"/>
      <c r="O107" s="32"/>
      <c r="P107" s="32"/>
      <c r="Q107" s="32"/>
      <c r="R107" s="32"/>
      <c r="S107" s="32"/>
      <c r="T107" s="32"/>
      <c r="U107" s="32"/>
      <c r="V107" s="32"/>
      <c r="W107" s="32"/>
    </row>
    <row r="108" spans="6:23" x14ac:dyDescent="0.3">
      <c r="F108" s="32"/>
      <c r="G108" s="3"/>
      <c r="H108" s="3"/>
      <c r="I108" s="3"/>
      <c r="J108" s="3"/>
      <c r="K108" s="3"/>
      <c r="L108" s="5"/>
      <c r="M108" s="5"/>
      <c r="N108" s="5"/>
      <c r="O108" s="32"/>
      <c r="P108" s="32"/>
      <c r="Q108" s="32"/>
      <c r="R108" s="32"/>
      <c r="S108" s="32"/>
      <c r="T108" s="32"/>
      <c r="U108" s="32"/>
      <c r="V108" s="32"/>
      <c r="W108" s="32"/>
    </row>
    <row r="109" spans="6:23" x14ac:dyDescent="0.3">
      <c r="F109" s="32"/>
      <c r="G109" s="3"/>
      <c r="H109" s="3"/>
      <c r="I109" s="3"/>
      <c r="J109" s="3"/>
      <c r="K109" s="3"/>
      <c r="L109" s="5"/>
      <c r="M109" s="5"/>
      <c r="N109" s="5"/>
      <c r="O109" s="32"/>
      <c r="P109" s="32"/>
      <c r="Q109" s="32"/>
      <c r="R109" s="32"/>
      <c r="S109" s="32"/>
      <c r="T109" s="32"/>
      <c r="U109" s="32"/>
      <c r="V109" s="32"/>
      <c r="W109" s="32"/>
    </row>
    <row r="110" spans="6:23" x14ac:dyDescent="0.3">
      <c r="F110" s="32"/>
      <c r="G110" s="3"/>
      <c r="H110" s="3"/>
      <c r="I110" s="3"/>
      <c r="J110" s="3"/>
      <c r="K110" s="3"/>
      <c r="L110" s="5"/>
      <c r="M110" s="5"/>
      <c r="N110" s="5"/>
      <c r="O110" s="32"/>
      <c r="P110" s="32"/>
      <c r="Q110" s="32"/>
      <c r="R110" s="32"/>
      <c r="S110" s="32"/>
      <c r="T110" s="32"/>
      <c r="U110" s="32"/>
      <c r="V110" s="32"/>
      <c r="W110" s="32"/>
    </row>
    <row r="111" spans="6:23" x14ac:dyDescent="0.3">
      <c r="F111" s="32"/>
      <c r="G111" s="3"/>
      <c r="H111" s="3"/>
      <c r="I111" s="3"/>
      <c r="J111" s="3"/>
      <c r="K111" s="3"/>
      <c r="L111" s="5"/>
      <c r="M111" s="5"/>
      <c r="N111" s="5"/>
      <c r="O111" s="32"/>
      <c r="P111" s="32"/>
      <c r="Q111" s="32"/>
      <c r="R111" s="32"/>
      <c r="S111" s="32"/>
      <c r="T111" s="32"/>
      <c r="U111" s="32"/>
      <c r="V111" s="32"/>
      <c r="W111" s="32"/>
    </row>
    <row r="112" spans="6:23" x14ac:dyDescent="0.3">
      <c r="F112" s="32"/>
      <c r="G112" s="3"/>
      <c r="H112" s="3"/>
      <c r="I112" s="3"/>
      <c r="J112" s="3"/>
      <c r="K112" s="3"/>
      <c r="L112" s="5"/>
      <c r="M112" s="5"/>
      <c r="N112" s="5"/>
      <c r="O112" s="32"/>
      <c r="P112" s="32"/>
      <c r="Q112" s="32"/>
      <c r="R112" s="32"/>
      <c r="S112" s="32"/>
      <c r="T112" s="32"/>
      <c r="U112" s="32"/>
      <c r="V112" s="32"/>
      <c r="W112" s="32"/>
    </row>
    <row r="113" spans="6:23" x14ac:dyDescent="0.3">
      <c r="F113" s="32"/>
      <c r="G113" s="3"/>
      <c r="H113" s="3"/>
      <c r="I113" s="3"/>
      <c r="J113" s="3"/>
      <c r="K113" s="3"/>
      <c r="L113" s="5"/>
      <c r="M113" s="5"/>
      <c r="N113" s="5"/>
      <c r="O113" s="32"/>
      <c r="P113" s="32"/>
      <c r="Q113" s="32"/>
      <c r="R113" s="32"/>
      <c r="S113" s="32"/>
      <c r="T113" s="32"/>
      <c r="U113" s="32"/>
      <c r="V113" s="32"/>
      <c r="W113" s="32"/>
    </row>
    <row r="114" spans="6:23" x14ac:dyDescent="0.3">
      <c r="F114" s="32"/>
      <c r="G114" s="3"/>
      <c r="H114" s="3"/>
      <c r="I114" s="3"/>
      <c r="J114" s="3"/>
      <c r="K114" s="3"/>
      <c r="L114" s="5"/>
      <c r="M114" s="5"/>
      <c r="N114" s="5"/>
      <c r="O114" s="32"/>
      <c r="P114" s="32"/>
      <c r="Q114" s="32"/>
      <c r="R114" s="32"/>
      <c r="S114" s="32"/>
      <c r="T114" s="32"/>
      <c r="U114" s="32"/>
      <c r="V114" s="32"/>
      <c r="W114" s="32"/>
    </row>
    <row r="115" spans="6:23" x14ac:dyDescent="0.3">
      <c r="F115" s="32"/>
      <c r="G115" s="3"/>
      <c r="H115" s="3"/>
      <c r="I115" s="3"/>
      <c r="J115" s="3"/>
      <c r="K115" s="3"/>
      <c r="L115" s="5"/>
      <c r="M115" s="5"/>
      <c r="N115" s="5"/>
      <c r="O115" s="32"/>
      <c r="P115" s="32"/>
      <c r="Q115" s="32"/>
      <c r="R115" s="32"/>
      <c r="S115" s="32"/>
      <c r="T115" s="32"/>
      <c r="U115" s="32"/>
      <c r="V115" s="32"/>
      <c r="W115" s="32"/>
    </row>
    <row r="116" spans="6:23" x14ac:dyDescent="0.3">
      <c r="F116" s="32"/>
      <c r="G116" s="3"/>
      <c r="H116" s="3"/>
      <c r="I116" s="3"/>
      <c r="J116" s="3"/>
      <c r="K116" s="3"/>
      <c r="L116" s="5"/>
      <c r="M116" s="5"/>
      <c r="N116" s="5"/>
      <c r="O116" s="32"/>
      <c r="P116" s="32"/>
      <c r="Q116" s="32"/>
      <c r="R116" s="32"/>
      <c r="S116" s="32"/>
      <c r="T116" s="32"/>
      <c r="U116" s="32"/>
      <c r="V116" s="32"/>
      <c r="W116" s="32"/>
    </row>
    <row r="117" spans="6:23" x14ac:dyDescent="0.3">
      <c r="F117" s="32"/>
      <c r="G117" s="3"/>
      <c r="H117" s="3"/>
      <c r="I117" s="3"/>
      <c r="J117" s="3"/>
      <c r="K117" s="3"/>
      <c r="L117" s="5"/>
      <c r="M117" s="5"/>
      <c r="N117" s="5"/>
      <c r="O117" s="32"/>
      <c r="P117" s="32"/>
      <c r="Q117" s="32"/>
      <c r="R117" s="32"/>
      <c r="S117" s="32"/>
      <c r="T117" s="32"/>
      <c r="U117" s="32"/>
      <c r="V117" s="32"/>
      <c r="W117" s="32"/>
    </row>
    <row r="118" spans="6:23" x14ac:dyDescent="0.3">
      <c r="F118" s="32"/>
      <c r="G118" s="3"/>
      <c r="H118" s="3"/>
      <c r="I118" s="3"/>
      <c r="J118" s="3"/>
      <c r="K118" s="3"/>
      <c r="L118" s="5"/>
      <c r="M118" s="5"/>
      <c r="N118" s="5"/>
      <c r="O118" s="32"/>
      <c r="P118" s="32"/>
      <c r="Q118" s="32"/>
      <c r="R118" s="32"/>
      <c r="S118" s="32"/>
      <c r="T118" s="32"/>
      <c r="U118" s="32"/>
      <c r="V118" s="32"/>
      <c r="W118" s="32"/>
    </row>
    <row r="119" spans="6:23" x14ac:dyDescent="0.3">
      <c r="F119" s="32"/>
      <c r="G119" s="3"/>
      <c r="H119" s="3"/>
      <c r="I119" s="3"/>
      <c r="J119" s="3"/>
      <c r="K119" s="3"/>
      <c r="L119" s="5"/>
      <c r="M119" s="5"/>
      <c r="N119" s="5"/>
      <c r="O119" s="32"/>
      <c r="P119" s="32"/>
      <c r="Q119" s="32"/>
      <c r="R119" s="32"/>
      <c r="S119" s="32"/>
      <c r="T119" s="32"/>
      <c r="U119" s="32"/>
      <c r="V119" s="32"/>
      <c r="W119" s="32"/>
    </row>
    <row r="120" spans="6:23" x14ac:dyDescent="0.3">
      <c r="F120" s="32"/>
      <c r="G120" s="3"/>
      <c r="H120" s="3"/>
      <c r="I120" s="3"/>
      <c r="J120" s="3"/>
      <c r="K120" s="3"/>
      <c r="L120" s="5"/>
      <c r="M120" s="5"/>
      <c r="N120" s="5"/>
      <c r="O120" s="32"/>
      <c r="P120" s="32"/>
      <c r="Q120" s="32"/>
      <c r="R120" s="32"/>
      <c r="S120" s="32"/>
      <c r="T120" s="32"/>
      <c r="U120" s="32"/>
      <c r="V120" s="32"/>
      <c r="W120" s="32"/>
    </row>
    <row r="121" spans="6:23" x14ac:dyDescent="0.3">
      <c r="F121" s="32"/>
      <c r="G121" s="3"/>
      <c r="H121" s="3"/>
      <c r="I121" s="3"/>
      <c r="J121" s="3"/>
      <c r="K121" s="3"/>
      <c r="L121" s="5"/>
      <c r="M121" s="5"/>
      <c r="N121" s="5"/>
      <c r="O121" s="32"/>
      <c r="P121" s="32"/>
      <c r="Q121" s="32"/>
      <c r="R121" s="32"/>
      <c r="S121" s="32"/>
      <c r="T121" s="32"/>
      <c r="U121" s="32"/>
      <c r="V121" s="32"/>
      <c r="W121" s="32"/>
    </row>
    <row r="122" spans="6:23" x14ac:dyDescent="0.3">
      <c r="F122" s="32"/>
      <c r="G122" s="3"/>
      <c r="H122" s="3"/>
      <c r="I122" s="3"/>
      <c r="J122" s="3"/>
      <c r="K122" s="3"/>
      <c r="L122" s="5"/>
      <c r="M122" s="5"/>
      <c r="N122" s="5"/>
      <c r="O122" s="32"/>
      <c r="P122" s="32"/>
      <c r="Q122" s="32"/>
      <c r="R122" s="32"/>
      <c r="S122" s="32"/>
      <c r="T122" s="32"/>
      <c r="U122" s="32"/>
      <c r="V122" s="32"/>
      <c r="W122" s="32"/>
    </row>
    <row r="123" spans="6:23" x14ac:dyDescent="0.3">
      <c r="F123" s="32"/>
      <c r="G123" s="3"/>
      <c r="H123" s="3"/>
      <c r="I123" s="3"/>
      <c r="J123" s="3"/>
      <c r="K123" s="3"/>
      <c r="L123" s="5"/>
      <c r="M123" s="5"/>
      <c r="N123" s="5"/>
      <c r="O123" s="32"/>
      <c r="P123" s="32"/>
      <c r="Q123" s="32"/>
      <c r="R123" s="32"/>
      <c r="S123" s="32"/>
      <c r="T123" s="32"/>
      <c r="U123" s="32"/>
      <c r="V123" s="32"/>
      <c r="W123" s="32"/>
    </row>
    <row r="124" spans="6:23" s="9" customFormat="1" x14ac:dyDescent="0.3">
      <c r="F124" s="33"/>
      <c r="G124" s="7"/>
      <c r="H124" s="7"/>
      <c r="I124" s="7"/>
      <c r="J124" s="7"/>
      <c r="K124" s="7"/>
      <c r="L124" s="8"/>
      <c r="M124" s="8"/>
      <c r="N124" s="8"/>
      <c r="O124" s="33"/>
      <c r="P124" s="33"/>
      <c r="Q124" s="33"/>
      <c r="R124" s="33"/>
      <c r="S124" s="33"/>
      <c r="T124" s="33"/>
      <c r="U124" s="33"/>
      <c r="V124" s="33"/>
      <c r="W124" s="33"/>
    </row>
    <row r="125" spans="6:23" x14ac:dyDescent="0.3">
      <c r="F125" s="32"/>
      <c r="G125" s="3"/>
      <c r="H125" s="3"/>
      <c r="I125" s="3"/>
      <c r="J125" s="3"/>
      <c r="K125" s="3"/>
      <c r="L125" s="5"/>
      <c r="M125" s="5"/>
      <c r="N125" s="5"/>
      <c r="O125" s="32"/>
      <c r="P125" s="32"/>
      <c r="Q125" s="32"/>
      <c r="R125" s="32"/>
      <c r="S125" s="32"/>
      <c r="T125" s="32"/>
      <c r="U125" s="32"/>
      <c r="V125" s="32"/>
      <c r="W125" s="32"/>
    </row>
    <row r="126" spans="6:23" x14ac:dyDescent="0.3">
      <c r="F126" s="32"/>
      <c r="G126" s="3"/>
      <c r="H126" s="3"/>
      <c r="I126" s="3"/>
      <c r="J126" s="3"/>
      <c r="K126" s="3"/>
      <c r="L126" s="5"/>
      <c r="M126" s="5"/>
      <c r="N126" s="5"/>
      <c r="O126" s="32"/>
      <c r="P126" s="32"/>
      <c r="Q126" s="32"/>
      <c r="R126" s="32"/>
      <c r="S126" s="32"/>
      <c r="T126" s="32"/>
      <c r="U126" s="32"/>
      <c r="V126" s="32"/>
      <c r="W126" s="32"/>
    </row>
    <row r="127" spans="6:23" x14ac:dyDescent="0.3">
      <c r="F127" s="32"/>
      <c r="G127" s="3"/>
      <c r="H127" s="3"/>
      <c r="I127" s="3"/>
      <c r="J127" s="3"/>
      <c r="K127" s="3"/>
      <c r="L127" s="5"/>
      <c r="M127" s="5"/>
      <c r="N127" s="5"/>
      <c r="O127" s="32"/>
      <c r="P127" s="32"/>
      <c r="Q127" s="32"/>
      <c r="R127" s="32"/>
      <c r="S127" s="32"/>
      <c r="T127" s="32"/>
      <c r="U127" s="32"/>
      <c r="V127" s="32"/>
      <c r="W127" s="32"/>
    </row>
    <row r="128" spans="6:23" x14ac:dyDescent="0.3">
      <c r="F128" s="32"/>
      <c r="G128" s="3"/>
      <c r="H128" s="3"/>
      <c r="I128" s="3"/>
      <c r="J128" s="3"/>
      <c r="K128" s="3"/>
      <c r="L128" s="5"/>
      <c r="M128" s="5"/>
      <c r="N128" s="5"/>
      <c r="O128" s="32"/>
      <c r="P128" s="32"/>
      <c r="Q128" s="32"/>
      <c r="R128" s="32"/>
      <c r="S128" s="32"/>
      <c r="T128" s="32"/>
      <c r="U128" s="32"/>
      <c r="V128" s="32"/>
      <c r="W128" s="32"/>
    </row>
    <row r="129" spans="6:23" x14ac:dyDescent="0.3">
      <c r="F129" s="32"/>
      <c r="G129" s="3"/>
      <c r="H129" s="3"/>
      <c r="I129" s="3"/>
      <c r="J129" s="3"/>
      <c r="K129" s="3"/>
      <c r="L129" s="5"/>
      <c r="M129" s="5"/>
      <c r="N129" s="5"/>
      <c r="O129" s="32"/>
      <c r="P129" s="32"/>
      <c r="Q129" s="32"/>
      <c r="R129" s="32"/>
      <c r="S129" s="32"/>
      <c r="T129" s="32"/>
      <c r="U129" s="32"/>
      <c r="V129" s="32"/>
      <c r="W129" s="32"/>
    </row>
    <row r="130" spans="6:23" x14ac:dyDescent="0.3">
      <c r="F130" s="32"/>
      <c r="G130" s="3"/>
      <c r="H130" s="3"/>
      <c r="I130" s="3"/>
      <c r="J130" s="3"/>
      <c r="K130" s="3"/>
      <c r="L130" s="5"/>
      <c r="M130" s="5"/>
      <c r="N130" s="5"/>
      <c r="O130" s="32"/>
      <c r="P130" s="32"/>
      <c r="Q130" s="32"/>
      <c r="R130" s="32"/>
      <c r="S130" s="32"/>
      <c r="T130" s="32"/>
      <c r="U130" s="32"/>
      <c r="V130" s="32"/>
      <c r="W130" s="32"/>
    </row>
    <row r="131" spans="6:23" x14ac:dyDescent="0.3">
      <c r="F131" s="32"/>
      <c r="G131" s="3"/>
      <c r="H131" s="3"/>
      <c r="I131" s="3"/>
      <c r="J131" s="3"/>
      <c r="K131" s="3"/>
      <c r="L131" s="5"/>
      <c r="M131" s="5"/>
      <c r="N131" s="5"/>
      <c r="O131" s="32"/>
      <c r="P131" s="32"/>
      <c r="Q131" s="32"/>
      <c r="R131" s="32"/>
      <c r="S131" s="32"/>
      <c r="T131" s="32"/>
      <c r="U131" s="32"/>
      <c r="V131" s="32"/>
      <c r="W131" s="32"/>
    </row>
    <row r="132" spans="6:23" x14ac:dyDescent="0.3">
      <c r="F132" s="32"/>
      <c r="G132" s="3"/>
      <c r="H132" s="3"/>
      <c r="I132" s="3"/>
      <c r="J132" s="3"/>
      <c r="K132" s="3"/>
      <c r="L132" s="5"/>
      <c r="M132" s="5"/>
      <c r="N132" s="5"/>
      <c r="O132" s="32"/>
      <c r="P132" s="32"/>
      <c r="Q132" s="32"/>
      <c r="R132" s="32"/>
      <c r="S132" s="32"/>
      <c r="T132" s="32"/>
      <c r="U132" s="32"/>
      <c r="V132" s="32"/>
      <c r="W132" s="32"/>
    </row>
    <row r="133" spans="6:23" x14ac:dyDescent="0.3">
      <c r="F133" s="32"/>
      <c r="G133" s="3"/>
      <c r="H133" s="3"/>
      <c r="I133" s="3"/>
      <c r="J133" s="3"/>
      <c r="K133" s="3"/>
      <c r="L133" s="5"/>
      <c r="M133" s="5"/>
      <c r="N133" s="5"/>
      <c r="O133" s="32"/>
      <c r="P133" s="32"/>
      <c r="Q133" s="32"/>
      <c r="R133" s="32"/>
      <c r="S133" s="32"/>
      <c r="T133" s="32"/>
      <c r="U133" s="32"/>
      <c r="V133" s="32"/>
      <c r="W133" s="32"/>
    </row>
    <row r="134" spans="6:23" x14ac:dyDescent="0.3">
      <c r="F134" s="32"/>
      <c r="G134" s="3"/>
      <c r="H134" s="3"/>
      <c r="I134" s="3"/>
      <c r="J134" s="3"/>
      <c r="K134" s="3"/>
      <c r="L134" s="5"/>
      <c r="M134" s="5"/>
      <c r="N134" s="5"/>
      <c r="O134" s="32"/>
      <c r="P134" s="32"/>
      <c r="Q134" s="32"/>
      <c r="R134" s="32"/>
      <c r="S134" s="32"/>
      <c r="T134" s="32"/>
      <c r="U134" s="32"/>
      <c r="V134" s="32"/>
      <c r="W134" s="32"/>
    </row>
    <row r="135" spans="6:23" x14ac:dyDescent="0.3">
      <c r="F135" s="32"/>
      <c r="G135" s="3"/>
      <c r="H135" s="3"/>
      <c r="I135" s="3"/>
      <c r="J135" s="3"/>
      <c r="K135" s="3"/>
      <c r="L135" s="5"/>
      <c r="M135" s="5"/>
      <c r="N135" s="5"/>
      <c r="O135" s="32"/>
      <c r="P135" s="32"/>
      <c r="Q135" s="32"/>
      <c r="R135" s="32"/>
      <c r="S135" s="32"/>
      <c r="T135" s="32"/>
      <c r="U135" s="32"/>
      <c r="V135" s="32"/>
      <c r="W135" s="32"/>
    </row>
    <row r="136" spans="6:23" x14ac:dyDescent="0.3">
      <c r="F136" s="32"/>
      <c r="G136" s="3"/>
      <c r="H136" s="3"/>
      <c r="I136" s="3"/>
      <c r="J136" s="3"/>
      <c r="K136" s="3"/>
      <c r="L136" s="5"/>
      <c r="M136" s="5"/>
      <c r="N136" s="5"/>
      <c r="O136" s="32"/>
      <c r="P136" s="32"/>
      <c r="Q136" s="32"/>
      <c r="R136" s="32"/>
      <c r="S136" s="32"/>
      <c r="T136" s="32"/>
      <c r="U136" s="32"/>
      <c r="V136" s="32"/>
      <c r="W136" s="32"/>
    </row>
    <row r="137" spans="6:23" x14ac:dyDescent="0.3">
      <c r="F137" s="32"/>
      <c r="G137" s="3"/>
      <c r="H137" s="3"/>
      <c r="I137" s="3"/>
      <c r="J137" s="3"/>
      <c r="K137" s="3"/>
      <c r="L137" s="5"/>
      <c r="M137" s="5"/>
      <c r="N137" s="5"/>
      <c r="O137" s="32"/>
      <c r="P137" s="32"/>
      <c r="Q137" s="32"/>
      <c r="R137" s="32"/>
      <c r="S137" s="32"/>
      <c r="T137" s="32"/>
      <c r="U137" s="32"/>
      <c r="V137" s="32"/>
      <c r="W137" s="32"/>
    </row>
    <row r="138" spans="6:23" x14ac:dyDescent="0.3">
      <c r="F138" s="32"/>
      <c r="G138" s="3"/>
      <c r="H138" s="3"/>
      <c r="I138" s="3"/>
      <c r="J138" s="3"/>
      <c r="K138" s="3"/>
      <c r="L138" s="5"/>
      <c r="M138" s="5"/>
      <c r="N138" s="5"/>
      <c r="O138" s="32"/>
      <c r="P138" s="32"/>
      <c r="Q138" s="32"/>
      <c r="R138" s="32"/>
      <c r="S138" s="32"/>
      <c r="T138" s="32"/>
      <c r="U138" s="32"/>
      <c r="V138" s="32"/>
      <c r="W138" s="32"/>
    </row>
    <row r="139" spans="6:23" x14ac:dyDescent="0.3">
      <c r="F139" s="32"/>
      <c r="G139" s="3"/>
      <c r="H139" s="3"/>
      <c r="I139" s="3"/>
      <c r="J139" s="3"/>
      <c r="K139" s="3"/>
      <c r="L139" s="5"/>
      <c r="M139" s="5"/>
      <c r="N139" s="5"/>
      <c r="O139" s="32"/>
      <c r="P139" s="32"/>
      <c r="Q139" s="32"/>
      <c r="R139" s="32"/>
      <c r="S139" s="32"/>
      <c r="T139" s="32"/>
      <c r="U139" s="32"/>
      <c r="V139" s="32"/>
      <c r="W139" s="32"/>
    </row>
    <row r="140" spans="6:23" x14ac:dyDescent="0.3">
      <c r="F140" s="32"/>
      <c r="G140" s="3"/>
      <c r="H140" s="3"/>
      <c r="I140" s="3"/>
      <c r="J140" s="3"/>
      <c r="K140" s="3"/>
      <c r="L140" s="5"/>
      <c r="M140" s="5"/>
      <c r="N140" s="5"/>
      <c r="O140" s="32"/>
      <c r="P140" s="32"/>
      <c r="Q140" s="32"/>
      <c r="R140" s="32"/>
      <c r="S140" s="32"/>
      <c r="T140" s="32"/>
      <c r="U140" s="32"/>
      <c r="V140" s="32"/>
      <c r="W140" s="32"/>
    </row>
    <row r="141" spans="6:23" x14ac:dyDescent="0.3">
      <c r="F141" s="32"/>
      <c r="G141" s="3"/>
      <c r="H141" s="3"/>
      <c r="I141" s="3"/>
      <c r="J141" s="3"/>
      <c r="K141" s="3"/>
      <c r="L141" s="5"/>
      <c r="M141" s="5"/>
      <c r="N141" s="5"/>
      <c r="O141" s="32"/>
      <c r="P141" s="32"/>
      <c r="Q141" s="32"/>
      <c r="R141" s="32"/>
      <c r="S141" s="32"/>
      <c r="T141" s="32"/>
      <c r="U141" s="32"/>
      <c r="V141" s="32"/>
      <c r="W141" s="32"/>
    </row>
    <row r="142" spans="6:23" x14ac:dyDescent="0.3">
      <c r="F142" s="32"/>
      <c r="G142" s="3"/>
      <c r="H142" s="3"/>
      <c r="I142" s="3"/>
      <c r="J142" s="3"/>
      <c r="K142" s="3"/>
      <c r="L142" s="5"/>
      <c r="M142" s="5"/>
      <c r="N142" s="5"/>
      <c r="O142" s="32"/>
      <c r="P142" s="32"/>
      <c r="Q142" s="32"/>
      <c r="R142" s="32"/>
      <c r="S142" s="32"/>
      <c r="T142" s="32"/>
      <c r="U142" s="32"/>
      <c r="V142" s="32"/>
      <c r="W142" s="32"/>
    </row>
    <row r="143" spans="6:23" x14ac:dyDescent="0.3">
      <c r="F143" s="32"/>
      <c r="G143" s="3"/>
      <c r="H143" s="3"/>
      <c r="I143" s="3"/>
      <c r="J143" s="3"/>
      <c r="K143" s="3"/>
      <c r="L143" s="5"/>
      <c r="M143" s="5"/>
      <c r="N143" s="5"/>
      <c r="O143" s="32"/>
      <c r="P143" s="32"/>
      <c r="Q143" s="32"/>
      <c r="R143" s="32"/>
      <c r="S143" s="32"/>
      <c r="T143" s="32"/>
      <c r="U143" s="32"/>
      <c r="V143" s="32"/>
      <c r="W143" s="32"/>
    </row>
    <row r="144" spans="6:23" x14ac:dyDescent="0.3">
      <c r="F144" s="32"/>
      <c r="G144" s="3"/>
      <c r="H144" s="3"/>
      <c r="I144" s="3"/>
      <c r="J144" s="3"/>
      <c r="K144" s="3"/>
      <c r="L144" s="5"/>
      <c r="M144" s="5"/>
      <c r="N144" s="5"/>
      <c r="O144" s="32"/>
      <c r="P144" s="32"/>
      <c r="Q144" s="32"/>
      <c r="R144" s="32"/>
      <c r="S144" s="32"/>
      <c r="T144" s="32"/>
      <c r="U144" s="32"/>
      <c r="V144" s="32"/>
      <c r="W144" s="32"/>
    </row>
    <row r="145" spans="6:23" x14ac:dyDescent="0.3">
      <c r="F145" s="32"/>
      <c r="G145" s="3"/>
      <c r="H145" s="3"/>
      <c r="I145" s="3"/>
      <c r="J145" s="3"/>
      <c r="K145" s="3"/>
      <c r="L145" s="5"/>
      <c r="M145" s="5"/>
      <c r="N145" s="5"/>
      <c r="O145" s="32"/>
      <c r="P145" s="32"/>
      <c r="Q145" s="32"/>
      <c r="R145" s="32"/>
      <c r="S145" s="32"/>
      <c r="T145" s="32"/>
      <c r="U145" s="32"/>
      <c r="V145" s="32"/>
      <c r="W145" s="32"/>
    </row>
    <row r="146" spans="6:23" x14ac:dyDescent="0.3">
      <c r="F146" s="32"/>
      <c r="G146" s="3"/>
      <c r="H146" s="3"/>
      <c r="I146" s="3"/>
      <c r="J146" s="3"/>
      <c r="K146" s="3"/>
      <c r="L146" s="5"/>
      <c r="M146" s="5"/>
      <c r="N146" s="5"/>
      <c r="O146" s="32"/>
      <c r="P146" s="32"/>
      <c r="Q146" s="32"/>
      <c r="R146" s="32"/>
      <c r="S146" s="32"/>
      <c r="T146" s="32"/>
      <c r="U146" s="32"/>
      <c r="V146" s="32"/>
      <c r="W146" s="32"/>
    </row>
    <row r="147" spans="6:23" x14ac:dyDescent="0.3">
      <c r="F147" s="32"/>
      <c r="G147" s="3"/>
      <c r="H147" s="3"/>
      <c r="I147" s="3"/>
      <c r="J147" s="3"/>
      <c r="K147" s="3"/>
      <c r="L147" s="5"/>
      <c r="M147" s="5"/>
      <c r="N147" s="5"/>
      <c r="O147" s="32"/>
      <c r="P147" s="32"/>
      <c r="Q147" s="32"/>
      <c r="R147" s="32"/>
      <c r="S147" s="32"/>
      <c r="T147" s="32"/>
      <c r="U147" s="32"/>
      <c r="V147" s="32"/>
      <c r="W147" s="32"/>
    </row>
    <row r="148" spans="6:23" x14ac:dyDescent="0.3">
      <c r="F148" s="32"/>
      <c r="G148" s="3"/>
      <c r="H148" s="3"/>
      <c r="I148" s="3"/>
      <c r="J148" s="3"/>
      <c r="K148" s="3"/>
      <c r="L148" s="5"/>
      <c r="M148" s="5"/>
      <c r="N148" s="5"/>
      <c r="O148" s="32"/>
      <c r="P148" s="32"/>
      <c r="Q148" s="32"/>
      <c r="R148" s="32"/>
      <c r="S148" s="32"/>
      <c r="T148" s="32"/>
      <c r="U148" s="32"/>
      <c r="V148" s="32"/>
      <c r="W148" s="32"/>
    </row>
    <row r="149" spans="6:23" x14ac:dyDescent="0.3">
      <c r="F149" s="32"/>
      <c r="G149" s="3"/>
      <c r="H149" s="3"/>
      <c r="I149" s="3"/>
      <c r="J149" s="3"/>
      <c r="K149" s="3"/>
      <c r="L149" s="5"/>
      <c r="M149" s="5"/>
      <c r="N149" s="5"/>
      <c r="O149" s="32"/>
      <c r="P149" s="32"/>
      <c r="Q149" s="32"/>
      <c r="R149" s="32"/>
      <c r="S149" s="32"/>
      <c r="T149" s="32"/>
      <c r="U149" s="32"/>
      <c r="V149" s="32"/>
      <c r="W149" s="32"/>
    </row>
    <row r="150" spans="6:23" x14ac:dyDescent="0.3">
      <c r="F150" s="32"/>
      <c r="G150" s="3"/>
      <c r="H150" s="3"/>
      <c r="I150" s="3"/>
      <c r="J150" s="3"/>
      <c r="K150" s="3"/>
      <c r="L150" s="5"/>
      <c r="M150" s="5"/>
      <c r="N150" s="5"/>
      <c r="O150" s="32"/>
      <c r="P150" s="32"/>
      <c r="Q150" s="32"/>
      <c r="R150" s="32"/>
      <c r="S150" s="32"/>
      <c r="T150" s="32"/>
      <c r="U150" s="32"/>
      <c r="V150" s="32"/>
      <c r="W150" s="32"/>
    </row>
    <row r="151" spans="6:23" x14ac:dyDescent="0.3">
      <c r="F151" s="32"/>
      <c r="G151" s="3"/>
      <c r="H151" s="3"/>
      <c r="I151" s="3"/>
      <c r="J151" s="3"/>
      <c r="K151" s="3"/>
      <c r="L151" s="5"/>
      <c r="M151" s="5"/>
      <c r="N151" s="5"/>
      <c r="O151" s="32"/>
      <c r="P151" s="32"/>
      <c r="Q151" s="32"/>
      <c r="R151" s="32"/>
      <c r="S151" s="32"/>
      <c r="T151" s="32"/>
      <c r="U151" s="32"/>
      <c r="V151" s="32"/>
      <c r="W151" s="32"/>
    </row>
    <row r="152" spans="6:23" x14ac:dyDescent="0.3">
      <c r="F152" s="32"/>
      <c r="G152" s="3"/>
      <c r="H152" s="3"/>
      <c r="I152" s="3"/>
      <c r="J152" s="3"/>
      <c r="K152" s="3"/>
      <c r="L152" s="5"/>
      <c r="M152" s="5"/>
      <c r="N152" s="5"/>
      <c r="O152" s="32"/>
      <c r="P152" s="32"/>
      <c r="Q152" s="32"/>
      <c r="R152" s="32"/>
      <c r="S152" s="32"/>
      <c r="T152" s="32"/>
      <c r="U152" s="32"/>
      <c r="V152" s="32"/>
      <c r="W152" s="32"/>
    </row>
    <row r="153" spans="6:23" x14ac:dyDescent="0.3">
      <c r="F153" s="32"/>
      <c r="G153" s="3"/>
      <c r="H153" s="3"/>
      <c r="I153" s="3"/>
      <c r="J153" s="3"/>
      <c r="K153" s="3"/>
      <c r="L153" s="5"/>
      <c r="M153" s="5"/>
      <c r="N153" s="5"/>
      <c r="O153" s="32"/>
      <c r="P153" s="32"/>
      <c r="Q153" s="32"/>
      <c r="R153" s="32"/>
      <c r="S153" s="32"/>
      <c r="T153" s="32"/>
      <c r="U153" s="32"/>
      <c r="V153" s="32"/>
      <c r="W153" s="32"/>
    </row>
    <row r="154" spans="6:23" x14ac:dyDescent="0.3">
      <c r="F154" s="32"/>
      <c r="G154" s="3"/>
      <c r="H154" s="3"/>
      <c r="I154" s="3"/>
      <c r="J154" s="3"/>
      <c r="K154" s="3"/>
      <c r="L154" s="5"/>
      <c r="M154" s="5"/>
      <c r="N154" s="5"/>
      <c r="O154" s="32"/>
      <c r="P154" s="32"/>
      <c r="Q154" s="32"/>
      <c r="R154" s="32"/>
      <c r="S154" s="32"/>
      <c r="T154" s="32"/>
      <c r="U154" s="32"/>
      <c r="V154" s="32"/>
      <c r="W154" s="32"/>
    </row>
    <row r="155" spans="6:23" x14ac:dyDescent="0.3">
      <c r="F155" s="32"/>
      <c r="G155" s="3"/>
      <c r="H155" s="3"/>
      <c r="I155" s="3"/>
      <c r="J155" s="3"/>
      <c r="K155" s="3"/>
      <c r="L155" s="5"/>
      <c r="M155" s="5"/>
      <c r="N155" s="5"/>
      <c r="O155" s="32"/>
      <c r="P155" s="32"/>
      <c r="Q155" s="32"/>
      <c r="R155" s="32"/>
      <c r="S155" s="32"/>
      <c r="T155" s="32"/>
      <c r="U155" s="32"/>
      <c r="V155" s="32"/>
      <c r="W155" s="32"/>
    </row>
    <row r="156" spans="6:23" x14ac:dyDescent="0.3">
      <c r="F156" s="32"/>
      <c r="G156" s="3"/>
      <c r="H156" s="3"/>
      <c r="I156" s="3"/>
      <c r="J156" s="3"/>
      <c r="K156" s="3"/>
      <c r="L156" s="5"/>
      <c r="M156" s="5"/>
      <c r="N156" s="5"/>
      <c r="O156" s="32"/>
      <c r="P156" s="32"/>
      <c r="Q156" s="32"/>
      <c r="R156" s="32"/>
      <c r="S156" s="32"/>
      <c r="T156" s="32"/>
      <c r="U156" s="32"/>
      <c r="V156" s="32"/>
      <c r="W156" s="32"/>
    </row>
    <row r="157" spans="6:23" x14ac:dyDescent="0.3">
      <c r="F157" s="32"/>
      <c r="G157" s="3"/>
      <c r="H157" s="3"/>
      <c r="I157" s="3"/>
      <c r="J157" s="3"/>
      <c r="K157" s="3"/>
      <c r="L157" s="5"/>
      <c r="M157" s="5"/>
      <c r="N157" s="5"/>
      <c r="O157" s="32"/>
      <c r="P157" s="32"/>
      <c r="Q157" s="32"/>
      <c r="R157" s="32"/>
      <c r="S157" s="32"/>
      <c r="T157" s="32"/>
      <c r="U157" s="32"/>
      <c r="V157" s="32"/>
      <c r="W157" s="32"/>
    </row>
    <row r="158" spans="6:23" x14ac:dyDescent="0.3">
      <c r="F158" s="32"/>
      <c r="G158" s="3"/>
      <c r="H158" s="3"/>
      <c r="I158" s="3"/>
      <c r="J158" s="3"/>
      <c r="K158" s="3"/>
      <c r="L158" s="5"/>
      <c r="M158" s="5"/>
      <c r="N158" s="5"/>
      <c r="O158" s="32"/>
      <c r="P158" s="32"/>
      <c r="Q158" s="32"/>
      <c r="R158" s="32"/>
      <c r="S158" s="32"/>
      <c r="T158" s="32"/>
      <c r="U158" s="32"/>
      <c r="V158" s="32"/>
      <c r="W158" s="32"/>
    </row>
    <row r="159" spans="6:23" x14ac:dyDescent="0.3">
      <c r="F159" s="32"/>
      <c r="G159" s="3"/>
      <c r="H159" s="3"/>
      <c r="I159" s="3"/>
      <c r="J159" s="3"/>
      <c r="K159" s="3"/>
      <c r="L159" s="5"/>
      <c r="M159" s="5"/>
      <c r="N159" s="5"/>
      <c r="O159" s="32"/>
      <c r="P159" s="32"/>
      <c r="Q159" s="32"/>
      <c r="R159" s="32"/>
      <c r="S159" s="32"/>
      <c r="T159" s="32"/>
      <c r="U159" s="32"/>
      <c r="V159" s="32"/>
      <c r="W159" s="32"/>
    </row>
    <row r="160" spans="6:23" x14ac:dyDescent="0.3">
      <c r="F160" s="32"/>
      <c r="G160" s="3"/>
      <c r="H160" s="3"/>
      <c r="I160" s="3"/>
      <c r="J160" s="3"/>
      <c r="K160" s="3"/>
      <c r="L160" s="5"/>
      <c r="M160" s="5"/>
      <c r="N160" s="5"/>
      <c r="O160" s="32"/>
      <c r="P160" s="32"/>
      <c r="Q160" s="32"/>
      <c r="R160" s="32"/>
      <c r="S160" s="32"/>
      <c r="T160" s="32"/>
      <c r="U160" s="32"/>
      <c r="V160" s="32"/>
      <c r="W160" s="32"/>
    </row>
    <row r="161" spans="6:23" x14ac:dyDescent="0.3">
      <c r="F161" s="32"/>
      <c r="G161" s="3"/>
      <c r="H161" s="3"/>
      <c r="I161" s="3"/>
      <c r="J161" s="3"/>
      <c r="K161" s="3"/>
      <c r="L161" s="5"/>
      <c r="M161" s="5"/>
      <c r="N161" s="5"/>
      <c r="O161" s="32"/>
      <c r="P161" s="32"/>
      <c r="Q161" s="32"/>
      <c r="R161" s="32"/>
      <c r="S161" s="32"/>
      <c r="T161" s="32"/>
      <c r="U161" s="32"/>
      <c r="V161" s="32"/>
      <c r="W161" s="32"/>
    </row>
    <row r="162" spans="6:23" x14ac:dyDescent="0.3">
      <c r="F162" s="32"/>
      <c r="G162" s="3"/>
      <c r="H162" s="3"/>
      <c r="I162" s="3"/>
      <c r="J162" s="3"/>
      <c r="K162" s="3"/>
      <c r="L162" s="5"/>
      <c r="M162" s="5"/>
      <c r="N162" s="5"/>
      <c r="O162" s="32"/>
      <c r="P162" s="32"/>
      <c r="Q162" s="32"/>
      <c r="R162" s="32"/>
      <c r="S162" s="32"/>
      <c r="T162" s="32"/>
      <c r="U162" s="32"/>
      <c r="V162" s="32"/>
      <c r="W162" s="32"/>
    </row>
    <row r="163" spans="6:23" x14ac:dyDescent="0.3">
      <c r="F163" s="32"/>
      <c r="G163" s="3"/>
      <c r="H163" s="3"/>
      <c r="I163" s="3"/>
      <c r="J163" s="3"/>
      <c r="K163" s="3"/>
      <c r="L163" s="5"/>
      <c r="M163" s="5"/>
      <c r="N163" s="5"/>
      <c r="O163" s="32"/>
      <c r="P163" s="32"/>
      <c r="Q163" s="32"/>
      <c r="R163" s="32"/>
      <c r="S163" s="32"/>
      <c r="T163" s="32"/>
      <c r="U163" s="32"/>
      <c r="V163" s="32"/>
      <c r="W163" s="32"/>
    </row>
    <row r="164" spans="6:23" x14ac:dyDescent="0.3">
      <c r="F164" s="32"/>
      <c r="G164" s="3"/>
      <c r="H164" s="3"/>
      <c r="I164" s="3"/>
      <c r="J164" s="3"/>
      <c r="K164" s="3"/>
      <c r="L164" s="5"/>
      <c r="M164" s="5"/>
      <c r="N164" s="5"/>
      <c r="O164" s="32"/>
      <c r="P164" s="32"/>
      <c r="Q164" s="32"/>
      <c r="R164" s="32"/>
      <c r="S164" s="32"/>
      <c r="T164" s="32"/>
      <c r="U164" s="32"/>
      <c r="V164" s="32"/>
      <c r="W164" s="32"/>
    </row>
    <row r="165" spans="6:23" x14ac:dyDescent="0.3">
      <c r="F165" s="32"/>
      <c r="G165" s="3"/>
      <c r="H165" s="3"/>
      <c r="I165" s="3"/>
      <c r="J165" s="3"/>
      <c r="K165" s="3"/>
      <c r="L165" s="5"/>
      <c r="M165" s="5"/>
      <c r="N165" s="5"/>
      <c r="O165" s="32"/>
      <c r="P165" s="32"/>
      <c r="Q165" s="32"/>
      <c r="R165" s="32"/>
      <c r="S165" s="32"/>
      <c r="T165" s="32"/>
      <c r="U165" s="32"/>
      <c r="V165" s="32"/>
      <c r="W165" s="32"/>
    </row>
    <row r="166" spans="6:23" x14ac:dyDescent="0.3">
      <c r="F166" s="32"/>
      <c r="G166" s="3"/>
      <c r="H166" s="3"/>
      <c r="I166" s="3"/>
      <c r="J166" s="3"/>
      <c r="K166" s="3"/>
      <c r="L166" s="5"/>
      <c r="M166" s="5"/>
      <c r="N166" s="5"/>
      <c r="O166" s="32"/>
      <c r="P166" s="32"/>
      <c r="Q166" s="32"/>
      <c r="R166" s="32"/>
      <c r="S166" s="32"/>
      <c r="T166" s="32"/>
      <c r="U166" s="32"/>
      <c r="V166" s="32"/>
      <c r="W166" s="32"/>
    </row>
    <row r="167" spans="6:23" x14ac:dyDescent="0.3">
      <c r="F167" s="32"/>
      <c r="G167" s="3"/>
      <c r="H167" s="3"/>
      <c r="I167" s="3"/>
      <c r="J167" s="3"/>
      <c r="K167" s="3"/>
      <c r="L167" s="5"/>
      <c r="M167" s="5"/>
      <c r="N167" s="5"/>
      <c r="O167" s="32"/>
      <c r="P167" s="32"/>
      <c r="Q167" s="32"/>
      <c r="R167" s="32"/>
      <c r="S167" s="32"/>
      <c r="T167" s="32"/>
      <c r="U167" s="32"/>
      <c r="V167" s="32"/>
      <c r="W167" s="32"/>
    </row>
    <row r="168" spans="6:23" x14ac:dyDescent="0.3">
      <c r="F168" s="32"/>
      <c r="G168" s="3"/>
      <c r="H168" s="3"/>
      <c r="I168" s="3"/>
      <c r="J168" s="3"/>
      <c r="K168" s="3"/>
      <c r="L168" s="5"/>
      <c r="M168" s="5"/>
      <c r="N168" s="5"/>
      <c r="O168" s="32"/>
      <c r="P168" s="32"/>
      <c r="Q168" s="32"/>
      <c r="R168" s="32"/>
      <c r="S168" s="32"/>
      <c r="T168" s="32"/>
      <c r="U168" s="32"/>
      <c r="V168" s="32"/>
      <c r="W168" s="32"/>
    </row>
    <row r="169" spans="6:23" x14ac:dyDescent="0.3">
      <c r="F169" s="32"/>
      <c r="G169" s="3"/>
      <c r="H169" s="3"/>
      <c r="I169" s="3"/>
      <c r="J169" s="3"/>
      <c r="K169" s="3"/>
      <c r="L169" s="5"/>
      <c r="M169" s="5"/>
      <c r="N169" s="5"/>
      <c r="O169" s="32"/>
      <c r="P169" s="32"/>
      <c r="Q169" s="32"/>
      <c r="R169" s="32"/>
      <c r="S169" s="32"/>
      <c r="T169" s="32"/>
      <c r="U169" s="32"/>
      <c r="V169" s="32"/>
      <c r="W169" s="32"/>
    </row>
    <row r="170" spans="6:23" x14ac:dyDescent="0.3">
      <c r="F170" s="32"/>
      <c r="G170" s="3"/>
      <c r="H170" s="3"/>
      <c r="I170" s="3"/>
      <c r="J170" s="3"/>
      <c r="K170" s="3"/>
      <c r="L170" s="5"/>
      <c r="M170" s="5"/>
      <c r="N170" s="5"/>
      <c r="O170" s="32"/>
      <c r="P170" s="32"/>
      <c r="Q170" s="32"/>
      <c r="R170" s="32"/>
      <c r="S170" s="32"/>
      <c r="T170" s="32"/>
      <c r="U170" s="32"/>
      <c r="V170" s="32"/>
      <c r="W170" s="32"/>
    </row>
    <row r="171" spans="6:23" x14ac:dyDescent="0.3">
      <c r="F171" s="32"/>
      <c r="G171" s="3"/>
      <c r="H171" s="3"/>
      <c r="I171" s="3"/>
      <c r="J171" s="3"/>
      <c r="K171" s="3"/>
      <c r="L171" s="5"/>
      <c r="M171" s="5"/>
      <c r="N171" s="5"/>
      <c r="O171" s="32"/>
      <c r="P171" s="32"/>
      <c r="Q171" s="32"/>
      <c r="R171" s="32"/>
      <c r="S171" s="32"/>
      <c r="T171" s="32"/>
      <c r="U171" s="32"/>
      <c r="V171" s="32"/>
      <c r="W171" s="32"/>
    </row>
    <row r="172" spans="6:23" x14ac:dyDescent="0.3">
      <c r="F172" s="32"/>
      <c r="G172" s="3"/>
      <c r="H172" s="3"/>
      <c r="I172" s="3"/>
      <c r="J172" s="3"/>
      <c r="K172" s="3"/>
      <c r="L172" s="5"/>
      <c r="M172" s="5"/>
      <c r="N172" s="5"/>
      <c r="O172" s="32"/>
      <c r="P172" s="32"/>
      <c r="Q172" s="32"/>
      <c r="R172" s="32"/>
      <c r="S172" s="32"/>
      <c r="T172" s="32"/>
      <c r="U172" s="32"/>
      <c r="V172" s="32"/>
      <c r="W172" s="32"/>
    </row>
    <row r="173" spans="6:23" x14ac:dyDescent="0.3">
      <c r="F173" s="32"/>
      <c r="G173" s="3"/>
      <c r="H173" s="3"/>
      <c r="I173" s="3"/>
      <c r="J173" s="3"/>
      <c r="K173" s="3"/>
      <c r="L173" s="5"/>
      <c r="M173" s="5"/>
      <c r="N173" s="5"/>
      <c r="O173" s="32"/>
      <c r="P173" s="32"/>
      <c r="Q173" s="32"/>
      <c r="R173" s="32"/>
      <c r="S173" s="32"/>
      <c r="T173" s="32"/>
      <c r="U173" s="32"/>
      <c r="V173" s="32"/>
      <c r="W173" s="32"/>
    </row>
    <row r="174" spans="6:23" x14ac:dyDescent="0.3">
      <c r="F174" s="32"/>
      <c r="G174" s="3"/>
      <c r="H174" s="3"/>
      <c r="I174" s="3"/>
      <c r="J174" s="3"/>
      <c r="K174" s="3"/>
      <c r="L174" s="5"/>
      <c r="M174" s="5"/>
      <c r="N174" s="5"/>
      <c r="O174" s="32"/>
      <c r="P174" s="32"/>
      <c r="Q174" s="32"/>
      <c r="R174" s="32"/>
      <c r="S174" s="32"/>
      <c r="T174" s="32"/>
      <c r="U174" s="32"/>
      <c r="V174" s="32"/>
      <c r="W174" s="32"/>
    </row>
    <row r="175" spans="6:23" x14ac:dyDescent="0.3">
      <c r="F175" s="32"/>
      <c r="G175" s="3"/>
      <c r="H175" s="3"/>
      <c r="I175" s="3"/>
      <c r="J175" s="3"/>
      <c r="K175" s="3"/>
      <c r="L175" s="5"/>
      <c r="M175" s="5"/>
      <c r="N175" s="5"/>
      <c r="O175" s="32"/>
      <c r="P175" s="32"/>
      <c r="Q175" s="32"/>
      <c r="R175" s="32"/>
      <c r="S175" s="32"/>
      <c r="T175" s="32"/>
      <c r="U175" s="32"/>
      <c r="V175" s="32"/>
      <c r="W175" s="32"/>
    </row>
    <row r="176" spans="6:23" x14ac:dyDescent="0.3">
      <c r="F176" s="32"/>
      <c r="G176" s="3"/>
      <c r="H176" s="3"/>
      <c r="I176" s="3"/>
      <c r="J176" s="3"/>
      <c r="K176" s="3"/>
      <c r="L176" s="5"/>
      <c r="M176" s="5"/>
      <c r="N176" s="5"/>
      <c r="O176" s="32"/>
      <c r="P176" s="32"/>
      <c r="Q176" s="32"/>
      <c r="R176" s="32"/>
      <c r="S176" s="32"/>
      <c r="T176" s="32"/>
      <c r="U176" s="32"/>
      <c r="V176" s="32"/>
      <c r="W176" s="32"/>
    </row>
    <row r="177" spans="6:23" x14ac:dyDescent="0.3">
      <c r="F177" s="32"/>
      <c r="G177" s="3"/>
      <c r="H177" s="3"/>
      <c r="I177" s="3"/>
      <c r="J177" s="3"/>
      <c r="K177" s="3"/>
      <c r="L177" s="5"/>
      <c r="M177" s="5"/>
      <c r="N177" s="5"/>
      <c r="O177" s="32"/>
      <c r="P177" s="32"/>
      <c r="Q177" s="32"/>
      <c r="R177" s="32"/>
      <c r="S177" s="32"/>
      <c r="T177" s="32"/>
      <c r="U177" s="32"/>
      <c r="V177" s="32"/>
      <c r="W177" s="32"/>
    </row>
    <row r="178" spans="6:23" x14ac:dyDescent="0.3">
      <c r="F178" s="32"/>
      <c r="G178" s="3"/>
      <c r="H178" s="3"/>
      <c r="I178" s="3"/>
      <c r="J178" s="3"/>
      <c r="K178" s="3"/>
      <c r="L178" s="5"/>
      <c r="M178" s="5"/>
      <c r="N178" s="5"/>
      <c r="O178" s="32"/>
      <c r="P178" s="32"/>
      <c r="Q178" s="32"/>
      <c r="R178" s="32"/>
      <c r="S178" s="32"/>
      <c r="T178" s="32"/>
      <c r="U178" s="32"/>
      <c r="V178" s="32"/>
      <c r="W178" s="32"/>
    </row>
    <row r="179" spans="6:23" x14ac:dyDescent="0.3">
      <c r="F179" s="32"/>
      <c r="G179" s="3"/>
      <c r="H179" s="3"/>
      <c r="I179" s="3"/>
      <c r="J179" s="3"/>
      <c r="K179" s="3"/>
      <c r="L179" s="5"/>
      <c r="M179" s="5"/>
      <c r="N179" s="5"/>
      <c r="O179" s="32"/>
      <c r="P179" s="32"/>
      <c r="Q179" s="32"/>
      <c r="R179" s="32"/>
      <c r="S179" s="32"/>
      <c r="T179" s="32"/>
      <c r="U179" s="32"/>
      <c r="V179" s="32"/>
      <c r="W179" s="32"/>
    </row>
    <row r="180" spans="6:23" x14ac:dyDescent="0.3">
      <c r="F180" s="32"/>
      <c r="G180" s="3"/>
      <c r="H180" s="3"/>
      <c r="I180" s="3"/>
      <c r="J180" s="3"/>
      <c r="K180" s="3"/>
      <c r="L180" s="5"/>
      <c r="M180" s="5"/>
      <c r="N180" s="5"/>
      <c r="O180" s="32"/>
      <c r="P180" s="32"/>
      <c r="Q180" s="32"/>
      <c r="R180" s="32"/>
      <c r="S180" s="32"/>
      <c r="T180" s="32"/>
      <c r="U180" s="32"/>
      <c r="V180" s="32"/>
      <c r="W180" s="32"/>
    </row>
    <row r="181" spans="6:23" x14ac:dyDescent="0.3">
      <c r="F181" s="32"/>
      <c r="G181" s="3"/>
      <c r="H181" s="3"/>
      <c r="I181" s="3"/>
      <c r="J181" s="3"/>
      <c r="K181" s="3"/>
      <c r="L181" s="5"/>
      <c r="M181" s="5"/>
      <c r="N181" s="5"/>
      <c r="O181" s="32"/>
      <c r="P181" s="32"/>
      <c r="Q181" s="32"/>
      <c r="R181" s="32"/>
      <c r="S181" s="32"/>
      <c r="T181" s="32"/>
      <c r="U181" s="32"/>
      <c r="V181" s="32"/>
      <c r="W181" s="32"/>
    </row>
    <row r="182" spans="6:23" x14ac:dyDescent="0.3">
      <c r="F182" s="32"/>
      <c r="G182" s="3"/>
      <c r="H182" s="3"/>
      <c r="I182" s="3"/>
      <c r="J182" s="3"/>
      <c r="K182" s="3"/>
      <c r="L182" s="5"/>
      <c r="M182" s="5"/>
      <c r="N182" s="5"/>
      <c r="O182" s="32"/>
      <c r="P182" s="32"/>
      <c r="Q182" s="32"/>
      <c r="R182" s="32"/>
      <c r="S182" s="32"/>
      <c r="T182" s="32"/>
      <c r="U182" s="32"/>
      <c r="V182" s="32"/>
      <c r="W182" s="32"/>
    </row>
    <row r="183" spans="6:23" x14ac:dyDescent="0.3">
      <c r="F183" s="32"/>
      <c r="G183" s="3"/>
      <c r="H183" s="3"/>
      <c r="I183" s="3"/>
      <c r="J183" s="3"/>
      <c r="K183" s="3"/>
      <c r="L183" s="5"/>
      <c r="M183" s="5"/>
      <c r="N183" s="5"/>
      <c r="O183" s="32"/>
      <c r="P183" s="32"/>
      <c r="Q183" s="32"/>
      <c r="R183" s="32"/>
      <c r="S183" s="32"/>
      <c r="T183" s="32"/>
      <c r="U183" s="32"/>
      <c r="V183" s="32"/>
      <c r="W183" s="32"/>
    </row>
    <row r="184" spans="6:23" x14ac:dyDescent="0.3">
      <c r="F184" s="32"/>
      <c r="G184" s="3"/>
      <c r="H184" s="3"/>
      <c r="I184" s="3"/>
      <c r="J184" s="3"/>
      <c r="K184" s="3"/>
      <c r="L184" s="5"/>
      <c r="M184" s="5"/>
      <c r="N184" s="5"/>
      <c r="O184" s="32"/>
      <c r="P184" s="32"/>
      <c r="Q184" s="32"/>
      <c r="R184" s="32"/>
      <c r="S184" s="32"/>
      <c r="T184" s="32"/>
      <c r="U184" s="32"/>
      <c r="V184" s="32"/>
      <c r="W184" s="32"/>
    </row>
    <row r="185" spans="6:23" x14ac:dyDescent="0.3">
      <c r="F185" s="32"/>
      <c r="G185" s="3"/>
      <c r="H185" s="3"/>
      <c r="I185" s="3"/>
      <c r="J185" s="3"/>
      <c r="K185" s="3"/>
      <c r="L185" s="5"/>
      <c r="M185" s="5"/>
      <c r="N185" s="5"/>
      <c r="O185" s="32"/>
      <c r="P185" s="32"/>
      <c r="Q185" s="32"/>
      <c r="R185" s="32"/>
      <c r="S185" s="32"/>
      <c r="T185" s="32"/>
      <c r="U185" s="32"/>
      <c r="V185" s="32"/>
      <c r="W185" s="32"/>
    </row>
    <row r="186" spans="6:23" x14ac:dyDescent="0.3">
      <c r="F186" s="32"/>
      <c r="G186" s="3"/>
      <c r="H186" s="3"/>
      <c r="I186" s="3"/>
      <c r="J186" s="3"/>
      <c r="K186" s="3"/>
      <c r="L186" s="5"/>
      <c r="M186" s="5"/>
      <c r="N186" s="5"/>
      <c r="O186" s="32"/>
      <c r="P186" s="32"/>
      <c r="Q186" s="32"/>
      <c r="R186" s="32"/>
      <c r="S186" s="32"/>
      <c r="T186" s="32"/>
      <c r="U186" s="32"/>
      <c r="V186" s="32"/>
      <c r="W186" s="32"/>
    </row>
    <row r="187" spans="6:23" x14ac:dyDescent="0.3">
      <c r="F187" s="32"/>
      <c r="G187" s="3"/>
      <c r="H187" s="3"/>
      <c r="I187" s="3"/>
      <c r="J187" s="3"/>
      <c r="K187" s="3"/>
      <c r="L187" s="5"/>
      <c r="M187" s="5"/>
      <c r="N187" s="5"/>
      <c r="O187" s="32"/>
      <c r="P187" s="32"/>
      <c r="Q187" s="32"/>
      <c r="R187" s="32"/>
      <c r="S187" s="32"/>
      <c r="T187" s="32"/>
      <c r="U187" s="32"/>
      <c r="V187" s="32"/>
      <c r="W187" s="32"/>
    </row>
    <row r="188" spans="6:23" x14ac:dyDescent="0.3">
      <c r="F188" s="32"/>
      <c r="G188" s="3"/>
      <c r="H188" s="3"/>
      <c r="I188" s="3"/>
      <c r="J188" s="3"/>
      <c r="K188" s="3"/>
      <c r="L188" s="5"/>
      <c r="M188" s="5"/>
      <c r="N188" s="5"/>
      <c r="O188" s="32"/>
      <c r="P188" s="32"/>
      <c r="Q188" s="32"/>
      <c r="R188" s="32"/>
      <c r="S188" s="32"/>
      <c r="T188" s="32"/>
      <c r="U188" s="32"/>
      <c r="V188" s="32"/>
      <c r="W188" s="32"/>
    </row>
    <row r="189" spans="6:23" x14ac:dyDescent="0.3">
      <c r="F189" s="32"/>
      <c r="G189" s="3"/>
      <c r="H189" s="3"/>
      <c r="I189" s="3"/>
      <c r="J189" s="3"/>
      <c r="K189" s="3"/>
      <c r="L189" s="5"/>
      <c r="M189" s="5"/>
      <c r="N189" s="5"/>
      <c r="O189" s="32"/>
      <c r="P189" s="32"/>
      <c r="Q189" s="32"/>
      <c r="R189" s="32"/>
      <c r="S189" s="32"/>
      <c r="T189" s="32"/>
      <c r="U189" s="32"/>
      <c r="V189" s="32"/>
      <c r="W189" s="32"/>
    </row>
    <row r="190" spans="6:23" x14ac:dyDescent="0.3">
      <c r="F190" s="32"/>
      <c r="G190" s="3"/>
      <c r="H190" s="3"/>
      <c r="I190" s="3"/>
      <c r="J190" s="3"/>
      <c r="K190" s="3"/>
      <c r="L190" s="5"/>
      <c r="M190" s="5"/>
      <c r="N190" s="5"/>
      <c r="O190" s="32"/>
      <c r="P190" s="32"/>
      <c r="Q190" s="32"/>
      <c r="R190" s="32"/>
      <c r="S190" s="32"/>
      <c r="T190" s="32"/>
      <c r="U190" s="32"/>
      <c r="V190" s="32"/>
      <c r="W190" s="32"/>
    </row>
    <row r="191" spans="6:23" x14ac:dyDescent="0.3">
      <c r="F191" s="32"/>
      <c r="G191" s="3"/>
      <c r="H191" s="3"/>
      <c r="I191" s="3"/>
      <c r="J191" s="3"/>
      <c r="K191" s="3"/>
      <c r="L191" s="5"/>
      <c r="M191" s="5"/>
      <c r="N191" s="5"/>
      <c r="O191" s="32"/>
      <c r="P191" s="32"/>
      <c r="Q191" s="32"/>
      <c r="R191" s="32"/>
      <c r="S191" s="32"/>
      <c r="T191" s="32"/>
      <c r="U191" s="32"/>
      <c r="V191" s="32"/>
      <c r="W191" s="32"/>
    </row>
    <row r="192" spans="6:23" x14ac:dyDescent="0.3">
      <c r="F192" s="32"/>
      <c r="G192" s="3"/>
      <c r="H192" s="3"/>
      <c r="I192" s="3"/>
      <c r="J192" s="3"/>
      <c r="K192" s="3"/>
      <c r="L192" s="5"/>
      <c r="M192" s="5"/>
      <c r="N192" s="5"/>
      <c r="O192" s="32"/>
      <c r="P192" s="32"/>
      <c r="Q192" s="32"/>
      <c r="R192" s="32"/>
      <c r="S192" s="32"/>
      <c r="T192" s="32"/>
      <c r="U192" s="32"/>
      <c r="V192" s="32"/>
      <c r="W192" s="32"/>
    </row>
    <row r="193" spans="6:23" x14ac:dyDescent="0.3">
      <c r="F193" s="32"/>
      <c r="G193" s="3"/>
      <c r="H193" s="3"/>
      <c r="I193" s="3"/>
      <c r="J193" s="3"/>
      <c r="K193" s="3"/>
      <c r="L193" s="5"/>
      <c r="M193" s="5"/>
      <c r="N193" s="5"/>
      <c r="O193" s="32"/>
      <c r="P193" s="32"/>
      <c r="Q193" s="32"/>
      <c r="R193" s="32"/>
      <c r="S193" s="32"/>
      <c r="T193" s="32"/>
      <c r="U193" s="32"/>
      <c r="V193" s="32"/>
      <c r="W193" s="32"/>
    </row>
    <row r="194" spans="6:23" x14ac:dyDescent="0.3">
      <c r="F194" s="32"/>
      <c r="G194" s="3"/>
      <c r="H194" s="3"/>
      <c r="I194" s="3"/>
      <c r="J194" s="3"/>
      <c r="K194" s="3"/>
      <c r="L194" s="5"/>
      <c r="M194" s="5"/>
      <c r="N194" s="5"/>
      <c r="O194" s="32"/>
      <c r="P194" s="32"/>
      <c r="Q194" s="32"/>
      <c r="R194" s="32"/>
      <c r="S194" s="32"/>
      <c r="T194" s="32"/>
      <c r="U194" s="32"/>
      <c r="V194" s="32"/>
      <c r="W194" s="32"/>
    </row>
    <row r="195" spans="6:23" x14ac:dyDescent="0.3">
      <c r="F195" s="32"/>
      <c r="G195" s="3"/>
      <c r="H195" s="3"/>
      <c r="I195" s="3"/>
      <c r="J195" s="3"/>
      <c r="K195" s="3"/>
      <c r="L195" s="5"/>
      <c r="M195" s="5"/>
      <c r="N195" s="5"/>
      <c r="O195" s="32"/>
      <c r="P195" s="32"/>
      <c r="Q195" s="32"/>
      <c r="R195" s="32"/>
      <c r="S195" s="32"/>
      <c r="T195" s="32"/>
      <c r="U195" s="32"/>
      <c r="V195" s="32"/>
      <c r="W195" s="32"/>
    </row>
    <row r="196" spans="6:23" x14ac:dyDescent="0.3">
      <c r="F196" s="32"/>
      <c r="G196" s="3"/>
      <c r="H196" s="3"/>
      <c r="I196" s="3"/>
      <c r="J196" s="3"/>
      <c r="K196" s="3"/>
      <c r="L196" s="5"/>
      <c r="M196" s="5"/>
      <c r="N196" s="5"/>
      <c r="O196" s="32"/>
      <c r="P196" s="32"/>
      <c r="Q196" s="32"/>
      <c r="R196" s="32"/>
      <c r="S196" s="32"/>
      <c r="T196" s="32"/>
      <c r="U196" s="32"/>
      <c r="V196" s="32"/>
      <c r="W196" s="32"/>
    </row>
    <row r="197" spans="6:23" x14ac:dyDescent="0.3">
      <c r="F197" s="32"/>
      <c r="G197" s="3"/>
      <c r="H197" s="3"/>
      <c r="I197" s="3"/>
      <c r="J197" s="3"/>
      <c r="K197" s="3"/>
      <c r="L197" s="5"/>
      <c r="M197" s="5"/>
      <c r="N197" s="5"/>
      <c r="O197" s="32"/>
      <c r="P197" s="32"/>
      <c r="Q197" s="32"/>
      <c r="R197" s="32"/>
      <c r="S197" s="32"/>
      <c r="T197" s="32"/>
      <c r="U197" s="32"/>
      <c r="V197" s="32"/>
      <c r="W197" s="32"/>
    </row>
    <row r="198" spans="6:23" x14ac:dyDescent="0.3">
      <c r="F198" s="32"/>
      <c r="G198" s="3"/>
      <c r="H198" s="3"/>
      <c r="I198" s="3"/>
      <c r="J198" s="3"/>
      <c r="K198" s="3"/>
      <c r="L198" s="10"/>
      <c r="M198" s="5"/>
      <c r="N198" s="5"/>
      <c r="O198" s="32"/>
      <c r="P198" s="32"/>
      <c r="Q198" s="32"/>
      <c r="R198" s="32"/>
      <c r="S198" s="32"/>
      <c r="T198" s="32"/>
      <c r="U198" s="32"/>
      <c r="V198" s="32"/>
      <c r="W198" s="32"/>
    </row>
    <row r="199" spans="6:23" x14ac:dyDescent="0.3">
      <c r="F199" s="32"/>
      <c r="G199" s="3"/>
      <c r="H199" s="3"/>
      <c r="I199" s="3"/>
      <c r="J199" s="3"/>
      <c r="K199" s="3"/>
      <c r="L199" s="10"/>
      <c r="M199" s="5"/>
      <c r="N199" s="5"/>
      <c r="O199" s="32"/>
      <c r="P199" s="32"/>
      <c r="Q199" s="32"/>
      <c r="R199" s="32"/>
      <c r="S199" s="32"/>
      <c r="T199" s="32"/>
      <c r="U199" s="32"/>
      <c r="V199" s="32"/>
      <c r="W199" s="32"/>
    </row>
    <row r="200" spans="6:23" x14ac:dyDescent="0.3">
      <c r="F200" s="32"/>
      <c r="G200" s="3"/>
      <c r="H200" s="3"/>
      <c r="I200" s="3"/>
      <c r="J200" s="3"/>
      <c r="K200" s="3"/>
      <c r="L200" s="10"/>
      <c r="M200" s="5"/>
      <c r="N200" s="5"/>
      <c r="O200" s="32"/>
      <c r="P200" s="32"/>
      <c r="Q200" s="32"/>
      <c r="R200" s="32"/>
      <c r="S200" s="32"/>
      <c r="T200" s="32"/>
      <c r="U200" s="32"/>
      <c r="V200" s="32"/>
      <c r="W200" s="32"/>
    </row>
    <row r="201" spans="6:23" x14ac:dyDescent="0.3">
      <c r="F201" s="32"/>
      <c r="G201" s="3"/>
      <c r="H201" s="3"/>
      <c r="I201" s="3"/>
      <c r="J201" s="3"/>
      <c r="K201" s="3"/>
      <c r="L201" s="5"/>
      <c r="M201" s="5"/>
      <c r="N201" s="5"/>
      <c r="O201" s="32"/>
      <c r="P201" s="32"/>
      <c r="Q201" s="32"/>
      <c r="R201" s="32"/>
      <c r="S201" s="32"/>
      <c r="T201" s="32"/>
      <c r="U201" s="32"/>
      <c r="V201" s="32"/>
      <c r="W201" s="32"/>
    </row>
    <row r="202" spans="6:23" x14ac:dyDescent="0.3">
      <c r="F202" s="32"/>
      <c r="G202" s="3"/>
      <c r="H202" s="3"/>
      <c r="I202" s="3"/>
      <c r="J202" s="3"/>
      <c r="K202" s="3"/>
      <c r="L202" s="5"/>
      <c r="M202" s="5"/>
      <c r="N202" s="5"/>
      <c r="O202" s="32"/>
      <c r="P202" s="32"/>
      <c r="Q202" s="32"/>
      <c r="R202" s="32"/>
      <c r="S202" s="32"/>
      <c r="T202" s="32"/>
      <c r="U202" s="32"/>
      <c r="V202" s="32"/>
      <c r="W202" s="32"/>
    </row>
    <row r="203" spans="6:23" x14ac:dyDescent="0.3">
      <c r="F203" s="32"/>
      <c r="G203" s="3"/>
      <c r="H203" s="3"/>
      <c r="I203" s="3"/>
      <c r="J203" s="3"/>
      <c r="K203" s="3"/>
      <c r="L203" s="5"/>
      <c r="M203" s="5"/>
      <c r="N203" s="5"/>
      <c r="O203" s="32"/>
      <c r="P203" s="32"/>
      <c r="Q203" s="32"/>
      <c r="R203" s="32"/>
      <c r="S203" s="32"/>
      <c r="T203" s="32"/>
      <c r="U203" s="32"/>
      <c r="V203" s="32"/>
      <c r="W203" s="32"/>
    </row>
    <row r="204" spans="6:23" x14ac:dyDescent="0.3">
      <c r="F204" s="32"/>
      <c r="G204" s="3"/>
      <c r="H204" s="3"/>
      <c r="I204" s="3"/>
      <c r="J204" s="3"/>
      <c r="K204" s="3"/>
      <c r="L204" s="5"/>
      <c r="M204" s="5"/>
      <c r="N204" s="5"/>
      <c r="O204" s="32"/>
      <c r="P204" s="32"/>
      <c r="Q204" s="32"/>
      <c r="R204" s="32"/>
      <c r="S204" s="32"/>
      <c r="T204" s="32"/>
      <c r="U204" s="32"/>
      <c r="V204" s="32"/>
      <c r="W204" s="32"/>
    </row>
    <row r="205" spans="6:23" x14ac:dyDescent="0.3">
      <c r="F205" s="32"/>
      <c r="G205" s="3"/>
      <c r="H205" s="3"/>
      <c r="I205" s="3"/>
      <c r="J205" s="3"/>
      <c r="K205" s="3"/>
      <c r="L205" s="5"/>
      <c r="M205" s="5"/>
      <c r="N205" s="5"/>
      <c r="O205" s="32"/>
      <c r="P205" s="32"/>
      <c r="Q205" s="32"/>
      <c r="R205" s="32"/>
      <c r="S205" s="32"/>
      <c r="T205" s="32"/>
      <c r="U205" s="32"/>
      <c r="V205" s="32"/>
      <c r="W205" s="32"/>
    </row>
    <row r="206" spans="6:23" x14ac:dyDescent="0.3">
      <c r="F206" s="32"/>
      <c r="G206" s="3"/>
      <c r="H206" s="3"/>
      <c r="I206" s="3"/>
      <c r="J206" s="3"/>
      <c r="K206" s="3"/>
      <c r="L206" s="5"/>
      <c r="M206" s="5"/>
      <c r="N206" s="5"/>
      <c r="O206" s="32"/>
      <c r="P206" s="32"/>
      <c r="Q206" s="32"/>
      <c r="R206" s="32"/>
      <c r="S206" s="32"/>
      <c r="T206" s="32"/>
      <c r="U206" s="32"/>
      <c r="V206" s="32"/>
      <c r="W206" s="32"/>
    </row>
    <row r="207" spans="6:23" x14ac:dyDescent="0.3">
      <c r="F207" s="32"/>
      <c r="G207" s="3"/>
      <c r="H207" s="3"/>
      <c r="I207" s="3"/>
      <c r="J207" s="3"/>
      <c r="K207" s="3"/>
      <c r="L207" s="5"/>
      <c r="M207" s="5"/>
      <c r="N207" s="5"/>
      <c r="O207" s="32"/>
      <c r="P207" s="32"/>
      <c r="Q207" s="32"/>
      <c r="R207" s="32"/>
      <c r="S207" s="32"/>
      <c r="T207" s="32"/>
      <c r="U207" s="32"/>
      <c r="V207" s="32"/>
      <c r="W207" s="32"/>
    </row>
    <row r="208" spans="6:23" x14ac:dyDescent="0.3">
      <c r="F208" s="32"/>
      <c r="G208" s="3"/>
      <c r="H208" s="3"/>
      <c r="I208" s="3"/>
      <c r="J208" s="3"/>
      <c r="K208" s="3"/>
      <c r="L208" s="5"/>
      <c r="M208" s="5"/>
      <c r="N208" s="5"/>
      <c r="O208" s="32"/>
      <c r="P208" s="32"/>
      <c r="Q208" s="32"/>
      <c r="R208" s="32"/>
      <c r="S208" s="32"/>
      <c r="T208" s="32"/>
      <c r="U208" s="32"/>
      <c r="V208" s="32"/>
      <c r="W208" s="32"/>
    </row>
    <row r="209" spans="6:23" x14ac:dyDescent="0.3">
      <c r="F209" s="32"/>
      <c r="G209" s="3"/>
      <c r="H209" s="3"/>
      <c r="I209" s="3"/>
      <c r="J209" s="3"/>
      <c r="K209" s="3"/>
      <c r="L209" s="5"/>
      <c r="M209" s="5"/>
      <c r="N209" s="5"/>
      <c r="O209" s="32"/>
      <c r="P209" s="32"/>
      <c r="Q209" s="32"/>
      <c r="R209" s="32"/>
      <c r="S209" s="32"/>
      <c r="T209" s="32"/>
      <c r="U209" s="32"/>
      <c r="V209" s="32"/>
      <c r="W209" s="32"/>
    </row>
    <row r="210" spans="6:23" x14ac:dyDescent="0.3">
      <c r="F210" s="32"/>
      <c r="G210" s="3"/>
      <c r="H210" s="3"/>
      <c r="I210" s="3"/>
      <c r="J210" s="3"/>
      <c r="K210" s="3"/>
      <c r="L210" s="5"/>
      <c r="M210" s="5"/>
      <c r="N210" s="5"/>
      <c r="O210" s="32"/>
      <c r="P210" s="32"/>
      <c r="Q210" s="32"/>
      <c r="R210" s="32"/>
      <c r="S210" s="32"/>
      <c r="T210" s="32"/>
      <c r="U210" s="32"/>
      <c r="V210" s="32"/>
      <c r="W210" s="32"/>
    </row>
    <row r="211" spans="6:23" x14ac:dyDescent="0.3">
      <c r="F211" s="32"/>
      <c r="G211" s="3"/>
      <c r="H211" s="3"/>
      <c r="I211" s="3"/>
      <c r="J211" s="3"/>
      <c r="K211" s="3"/>
      <c r="L211" s="5"/>
      <c r="M211" s="5"/>
      <c r="N211" s="5"/>
      <c r="O211" s="32"/>
      <c r="P211" s="32"/>
      <c r="Q211" s="32"/>
      <c r="R211" s="32"/>
      <c r="S211" s="32"/>
      <c r="T211" s="32"/>
      <c r="U211" s="32"/>
      <c r="V211" s="32"/>
      <c r="W211" s="32"/>
    </row>
    <row r="212" spans="6:23" x14ac:dyDescent="0.3">
      <c r="F212" s="32"/>
      <c r="G212" s="3"/>
      <c r="H212" s="3"/>
      <c r="I212" s="3"/>
      <c r="J212" s="3"/>
      <c r="K212" s="3"/>
      <c r="L212" s="5"/>
      <c r="M212" s="5"/>
      <c r="N212" s="5"/>
      <c r="O212" s="32"/>
      <c r="P212" s="32"/>
      <c r="Q212" s="32"/>
      <c r="R212" s="32"/>
      <c r="S212" s="32"/>
      <c r="T212" s="32"/>
      <c r="U212" s="32"/>
      <c r="V212" s="32"/>
      <c r="W212" s="32"/>
    </row>
    <row r="213" spans="6:23" x14ac:dyDescent="0.3">
      <c r="F213" s="32"/>
      <c r="G213" s="3"/>
      <c r="H213" s="3"/>
      <c r="I213" s="3"/>
      <c r="J213" s="3"/>
      <c r="K213" s="3"/>
      <c r="L213" s="5"/>
      <c r="M213" s="5"/>
      <c r="N213" s="5"/>
      <c r="O213" s="32"/>
      <c r="P213" s="32"/>
      <c r="Q213" s="32"/>
      <c r="R213" s="32"/>
      <c r="S213" s="32"/>
      <c r="T213" s="32"/>
      <c r="U213" s="32"/>
      <c r="V213" s="32"/>
      <c r="W213" s="32"/>
    </row>
    <row r="214" spans="6:23" x14ac:dyDescent="0.3">
      <c r="F214" s="32"/>
      <c r="G214" s="3"/>
      <c r="H214" s="3"/>
      <c r="I214" s="3"/>
      <c r="J214" s="3"/>
      <c r="K214" s="3"/>
      <c r="L214" s="5"/>
      <c r="M214" s="5"/>
      <c r="N214" s="5"/>
      <c r="O214" s="32"/>
      <c r="P214" s="32"/>
      <c r="Q214" s="32"/>
      <c r="R214" s="32"/>
      <c r="S214" s="32"/>
      <c r="T214" s="32"/>
      <c r="U214" s="32"/>
      <c r="V214" s="32"/>
      <c r="W214" s="32"/>
    </row>
    <row r="215" spans="6:23" x14ac:dyDescent="0.3">
      <c r="F215" s="32"/>
      <c r="G215" s="3"/>
      <c r="H215" s="3"/>
      <c r="I215" s="3"/>
      <c r="J215" s="3"/>
      <c r="K215" s="3"/>
      <c r="L215" s="5"/>
      <c r="M215" s="5"/>
      <c r="N215" s="5"/>
      <c r="O215" s="32"/>
      <c r="P215" s="32"/>
      <c r="Q215" s="32"/>
      <c r="R215" s="32"/>
      <c r="S215" s="32"/>
      <c r="T215" s="32"/>
      <c r="U215" s="32"/>
      <c r="V215" s="32"/>
      <c r="W215" s="32"/>
    </row>
    <row r="216" spans="6:23" x14ac:dyDescent="0.3">
      <c r="F216" s="32"/>
      <c r="G216" s="3"/>
      <c r="H216" s="3"/>
      <c r="I216" s="3"/>
      <c r="J216" s="3"/>
      <c r="K216" s="3"/>
      <c r="L216" s="5"/>
      <c r="M216" s="5"/>
      <c r="N216" s="5"/>
      <c r="O216" s="32"/>
      <c r="P216" s="32"/>
      <c r="Q216" s="32"/>
      <c r="R216" s="32"/>
      <c r="S216" s="32"/>
      <c r="T216" s="32"/>
      <c r="U216" s="32"/>
      <c r="V216" s="32"/>
      <c r="W216" s="32"/>
    </row>
    <row r="217" spans="6:23" x14ac:dyDescent="0.3">
      <c r="F217" s="32"/>
      <c r="G217" s="3"/>
      <c r="H217" s="3"/>
      <c r="I217" s="3"/>
      <c r="J217" s="3"/>
      <c r="K217" s="3"/>
      <c r="L217" s="5"/>
      <c r="M217" s="5"/>
      <c r="N217" s="5"/>
      <c r="O217" s="32"/>
      <c r="P217" s="32"/>
      <c r="Q217" s="32"/>
      <c r="R217" s="32"/>
      <c r="S217" s="32"/>
      <c r="T217" s="32"/>
      <c r="U217" s="32"/>
      <c r="V217" s="32"/>
      <c r="W217" s="32"/>
    </row>
    <row r="218" spans="6:23" x14ac:dyDescent="0.3">
      <c r="F218" s="32"/>
      <c r="G218" s="3"/>
      <c r="H218" s="3"/>
      <c r="I218" s="3"/>
      <c r="J218" s="3"/>
      <c r="K218" s="3"/>
      <c r="L218" s="5"/>
      <c r="M218" s="5"/>
      <c r="N218" s="5"/>
      <c r="O218" s="32"/>
      <c r="P218" s="32"/>
      <c r="Q218" s="32"/>
      <c r="R218" s="32"/>
      <c r="S218" s="32"/>
      <c r="T218" s="32"/>
      <c r="U218" s="32"/>
      <c r="V218" s="32"/>
      <c r="W218" s="32"/>
    </row>
    <row r="219" spans="6:23" x14ac:dyDescent="0.3">
      <c r="F219" s="32"/>
      <c r="G219" s="3"/>
      <c r="H219" s="3"/>
      <c r="I219" s="3"/>
      <c r="J219" s="3"/>
      <c r="K219" s="3"/>
      <c r="L219" s="5"/>
      <c r="M219" s="5"/>
      <c r="N219" s="5"/>
      <c r="O219" s="32"/>
      <c r="P219" s="32"/>
      <c r="Q219" s="32"/>
      <c r="R219" s="32"/>
      <c r="S219" s="32"/>
      <c r="T219" s="32"/>
      <c r="U219" s="32"/>
      <c r="V219" s="32"/>
      <c r="W219" s="32"/>
    </row>
    <row r="220" spans="6:23" x14ac:dyDescent="0.3">
      <c r="F220" s="32"/>
      <c r="G220" s="3"/>
      <c r="H220" s="3"/>
      <c r="I220" s="3"/>
      <c r="J220" s="3"/>
      <c r="K220" s="3"/>
      <c r="L220" s="5"/>
      <c r="M220" s="5"/>
      <c r="N220" s="5"/>
      <c r="O220" s="32"/>
      <c r="P220" s="32"/>
      <c r="Q220" s="32"/>
      <c r="R220" s="32"/>
      <c r="S220" s="32"/>
      <c r="T220" s="32"/>
      <c r="U220" s="32"/>
      <c r="V220" s="32"/>
      <c r="W220" s="32"/>
    </row>
    <row r="221" spans="6:23" x14ac:dyDescent="0.3">
      <c r="F221" s="32"/>
      <c r="G221" s="3"/>
      <c r="H221" s="3"/>
      <c r="I221" s="3"/>
      <c r="J221" s="3"/>
      <c r="K221" s="3"/>
      <c r="L221" s="5"/>
      <c r="M221" s="5"/>
      <c r="N221" s="5"/>
      <c r="O221" s="32"/>
      <c r="P221" s="32"/>
      <c r="Q221" s="32"/>
      <c r="R221" s="32"/>
      <c r="S221" s="32"/>
      <c r="T221" s="32"/>
      <c r="U221" s="32"/>
      <c r="V221" s="32"/>
      <c r="W221" s="32"/>
    </row>
    <row r="222" spans="6:23" x14ac:dyDescent="0.3">
      <c r="F222" s="32"/>
      <c r="G222" s="3"/>
      <c r="H222" s="3"/>
      <c r="I222" s="3"/>
      <c r="J222" s="3"/>
      <c r="K222" s="3"/>
      <c r="L222" s="5"/>
      <c r="M222" s="5"/>
      <c r="N222" s="5"/>
      <c r="O222" s="32"/>
      <c r="P222" s="32"/>
      <c r="Q222" s="32"/>
      <c r="R222" s="32"/>
      <c r="S222" s="32"/>
      <c r="T222" s="32"/>
      <c r="U222" s="32"/>
      <c r="V222" s="32"/>
      <c r="W222" s="32"/>
    </row>
    <row r="223" spans="6:23" x14ac:dyDescent="0.3">
      <c r="F223" s="32"/>
      <c r="G223" s="3"/>
      <c r="H223" s="3"/>
      <c r="I223" s="3"/>
      <c r="J223" s="3"/>
      <c r="K223" s="3"/>
      <c r="L223" s="5"/>
      <c r="M223" s="5"/>
      <c r="N223" s="5"/>
      <c r="O223" s="32"/>
      <c r="P223" s="32"/>
      <c r="Q223" s="32"/>
      <c r="R223" s="32"/>
      <c r="S223" s="32"/>
      <c r="T223" s="32"/>
      <c r="U223" s="32"/>
      <c r="V223" s="32"/>
      <c r="W223" s="32"/>
    </row>
    <row r="224" spans="6:23" x14ac:dyDescent="0.3">
      <c r="F224" s="32"/>
      <c r="G224" s="3"/>
      <c r="H224" s="3"/>
      <c r="I224" s="3"/>
      <c r="J224" s="3"/>
      <c r="K224" s="3"/>
      <c r="L224" s="5"/>
      <c r="M224" s="5"/>
      <c r="N224" s="5"/>
      <c r="O224" s="32"/>
      <c r="P224" s="32"/>
      <c r="Q224" s="32"/>
      <c r="R224" s="32"/>
      <c r="S224" s="32"/>
      <c r="T224" s="32"/>
      <c r="U224" s="32"/>
      <c r="V224" s="32"/>
      <c r="W224" s="32"/>
    </row>
    <row r="225" spans="6:23" x14ac:dyDescent="0.3">
      <c r="F225" s="32"/>
      <c r="G225" s="3"/>
      <c r="H225" s="3"/>
      <c r="I225" s="3"/>
      <c r="J225" s="3"/>
      <c r="K225" s="3"/>
      <c r="L225" s="5"/>
      <c r="M225" s="5"/>
      <c r="N225" s="5"/>
      <c r="O225" s="32"/>
      <c r="P225" s="32"/>
      <c r="Q225" s="32"/>
      <c r="R225" s="32"/>
      <c r="S225" s="32"/>
      <c r="T225" s="32"/>
      <c r="U225" s="32"/>
      <c r="V225" s="32"/>
      <c r="W225" s="32"/>
    </row>
    <row r="226" spans="6:23" x14ac:dyDescent="0.3">
      <c r="F226" s="32"/>
      <c r="G226" s="3"/>
      <c r="H226" s="3"/>
      <c r="I226" s="3"/>
      <c r="J226" s="3"/>
      <c r="K226" s="3"/>
      <c r="L226" s="5"/>
      <c r="M226" s="5"/>
      <c r="N226" s="5"/>
      <c r="O226" s="32"/>
      <c r="P226" s="32"/>
      <c r="Q226" s="32"/>
      <c r="R226" s="32"/>
      <c r="S226" s="32"/>
      <c r="T226" s="32"/>
      <c r="U226" s="32"/>
      <c r="V226" s="32"/>
      <c r="W226" s="32"/>
    </row>
    <row r="227" spans="6:23" x14ac:dyDescent="0.3">
      <c r="F227" s="32"/>
      <c r="G227" s="3"/>
      <c r="H227" s="3"/>
      <c r="I227" s="3"/>
      <c r="J227" s="3"/>
      <c r="K227" s="3"/>
      <c r="L227" s="5"/>
      <c r="M227" s="5"/>
      <c r="N227" s="5"/>
      <c r="O227" s="32"/>
      <c r="P227" s="32"/>
      <c r="Q227" s="32"/>
      <c r="R227" s="32"/>
      <c r="S227" s="32"/>
      <c r="T227" s="32"/>
      <c r="U227" s="32"/>
      <c r="V227" s="32"/>
      <c r="W227" s="32"/>
    </row>
    <row r="228" spans="6:23" x14ac:dyDescent="0.3">
      <c r="F228" s="32"/>
      <c r="G228" s="3"/>
      <c r="H228" s="3"/>
      <c r="I228" s="3"/>
      <c r="J228" s="3"/>
      <c r="K228" s="3"/>
      <c r="L228" s="5"/>
      <c r="M228" s="5"/>
      <c r="N228" s="5"/>
      <c r="O228" s="32"/>
      <c r="P228" s="32"/>
      <c r="Q228" s="32"/>
      <c r="R228" s="32"/>
      <c r="S228" s="32"/>
      <c r="T228" s="32"/>
      <c r="U228" s="32"/>
      <c r="V228" s="32"/>
      <c r="W228" s="32"/>
    </row>
    <row r="229" spans="6:23" x14ac:dyDescent="0.3">
      <c r="F229" s="32"/>
      <c r="G229" s="3"/>
      <c r="H229" s="3"/>
      <c r="I229" s="3"/>
      <c r="J229" s="3"/>
      <c r="K229" s="3"/>
      <c r="L229" s="5"/>
      <c r="M229" s="5"/>
      <c r="N229" s="5"/>
      <c r="O229" s="32"/>
      <c r="P229" s="32"/>
      <c r="Q229" s="32"/>
      <c r="R229" s="32"/>
      <c r="S229" s="32"/>
      <c r="T229" s="32"/>
      <c r="U229" s="32"/>
      <c r="V229" s="32"/>
      <c r="W229" s="32"/>
    </row>
    <row r="230" spans="6:23" x14ac:dyDescent="0.3">
      <c r="F230" s="32"/>
      <c r="G230" s="3"/>
      <c r="H230" s="3"/>
      <c r="I230" s="3"/>
      <c r="J230" s="3"/>
      <c r="K230" s="3"/>
      <c r="L230" s="5"/>
      <c r="M230" s="5"/>
      <c r="N230" s="5"/>
      <c r="O230" s="32"/>
      <c r="P230" s="32"/>
      <c r="Q230" s="32"/>
      <c r="R230" s="32"/>
      <c r="S230" s="32"/>
      <c r="T230" s="32"/>
      <c r="U230" s="32"/>
      <c r="V230" s="32"/>
      <c r="W230" s="32"/>
    </row>
    <row r="231" spans="6:23" x14ac:dyDescent="0.3">
      <c r="F231" s="32"/>
      <c r="G231" s="3"/>
      <c r="H231" s="3"/>
      <c r="I231" s="3"/>
      <c r="J231" s="3"/>
      <c r="K231" s="3"/>
      <c r="L231" s="5"/>
      <c r="M231" s="5"/>
      <c r="N231" s="5"/>
      <c r="O231" s="32"/>
      <c r="P231" s="32"/>
      <c r="Q231" s="32"/>
      <c r="R231" s="32"/>
      <c r="S231" s="32"/>
      <c r="T231" s="32"/>
      <c r="U231" s="32"/>
      <c r="V231" s="32"/>
      <c r="W231" s="32"/>
    </row>
    <row r="232" spans="6:23" x14ac:dyDescent="0.3">
      <c r="F232" s="32"/>
      <c r="G232" s="3"/>
      <c r="H232" s="3"/>
      <c r="I232" s="3"/>
      <c r="J232" s="3"/>
      <c r="K232" s="3"/>
      <c r="L232" s="5"/>
      <c r="M232" s="5"/>
      <c r="N232" s="5"/>
      <c r="O232" s="32"/>
      <c r="P232" s="32"/>
      <c r="Q232" s="32"/>
      <c r="R232" s="32"/>
      <c r="S232" s="32"/>
      <c r="T232" s="32"/>
      <c r="U232" s="32"/>
      <c r="V232" s="32"/>
      <c r="W232" s="32"/>
    </row>
    <row r="233" spans="6:23" x14ac:dyDescent="0.3">
      <c r="F233" s="32"/>
      <c r="G233" s="3"/>
      <c r="H233" s="3"/>
      <c r="I233" s="3"/>
      <c r="J233" s="3"/>
      <c r="K233" s="3"/>
      <c r="L233" s="5"/>
      <c r="M233" s="5"/>
      <c r="N233" s="5"/>
      <c r="O233" s="32"/>
      <c r="P233" s="32"/>
      <c r="Q233" s="32"/>
      <c r="R233" s="32"/>
      <c r="S233" s="32"/>
      <c r="T233" s="32"/>
      <c r="U233" s="32"/>
      <c r="V233" s="32"/>
      <c r="W233" s="32"/>
    </row>
    <row r="234" spans="6:23" x14ac:dyDescent="0.3">
      <c r="F234" s="32"/>
      <c r="G234" s="3"/>
      <c r="H234" s="3"/>
      <c r="I234" s="3"/>
      <c r="J234" s="3"/>
      <c r="K234" s="3"/>
      <c r="L234" s="5"/>
      <c r="M234" s="5"/>
      <c r="N234" s="5"/>
      <c r="O234" s="32"/>
      <c r="P234" s="32"/>
      <c r="Q234" s="32"/>
      <c r="R234" s="32"/>
      <c r="S234" s="32"/>
      <c r="T234" s="32"/>
      <c r="U234" s="32"/>
      <c r="V234" s="32"/>
      <c r="W234" s="32"/>
    </row>
    <row r="235" spans="6:23" x14ac:dyDescent="0.3">
      <c r="F235" s="32"/>
      <c r="G235" s="3"/>
      <c r="H235" s="3"/>
      <c r="I235" s="3"/>
      <c r="J235" s="3"/>
      <c r="K235" s="3"/>
      <c r="L235" s="5"/>
      <c r="M235" s="5"/>
      <c r="N235" s="5"/>
      <c r="O235" s="32"/>
      <c r="P235" s="32"/>
      <c r="Q235" s="32"/>
      <c r="R235" s="32"/>
      <c r="S235" s="32"/>
      <c r="T235" s="32"/>
      <c r="U235" s="32"/>
      <c r="V235" s="32"/>
      <c r="W235" s="32"/>
    </row>
    <row r="236" spans="6:23" x14ac:dyDescent="0.3">
      <c r="F236" s="32"/>
      <c r="G236" s="3"/>
      <c r="H236" s="3"/>
      <c r="I236" s="3"/>
      <c r="J236" s="3"/>
      <c r="K236" s="3"/>
      <c r="L236" s="5"/>
      <c r="M236" s="5"/>
      <c r="N236" s="5"/>
      <c r="O236" s="32"/>
      <c r="P236" s="32"/>
      <c r="Q236" s="32"/>
      <c r="R236" s="32"/>
      <c r="S236" s="32"/>
      <c r="T236" s="32"/>
      <c r="U236" s="32"/>
      <c r="V236" s="32"/>
      <c r="W236" s="32"/>
    </row>
    <row r="237" spans="6:23" x14ac:dyDescent="0.3">
      <c r="F237" s="32"/>
      <c r="G237" s="3"/>
      <c r="H237" s="3"/>
      <c r="I237" s="3"/>
      <c r="J237" s="3"/>
      <c r="K237" s="3"/>
      <c r="L237" s="5"/>
      <c r="M237" s="5"/>
      <c r="N237" s="5"/>
      <c r="O237" s="32"/>
      <c r="P237" s="32"/>
      <c r="Q237" s="32"/>
      <c r="R237" s="32"/>
      <c r="S237" s="32"/>
      <c r="T237" s="32"/>
      <c r="U237" s="32"/>
      <c r="V237" s="32"/>
      <c r="W237" s="32"/>
    </row>
    <row r="238" spans="6:23" x14ac:dyDescent="0.3">
      <c r="F238" s="32"/>
      <c r="G238" s="3"/>
      <c r="H238" s="3"/>
      <c r="I238" s="3"/>
      <c r="J238" s="3"/>
      <c r="K238" s="3"/>
      <c r="L238" s="5"/>
      <c r="M238" s="5"/>
      <c r="N238" s="5"/>
      <c r="O238" s="32"/>
      <c r="P238" s="32"/>
      <c r="Q238" s="32"/>
      <c r="R238" s="32"/>
      <c r="S238" s="32"/>
      <c r="T238" s="32"/>
      <c r="U238" s="32"/>
      <c r="V238" s="32"/>
      <c r="W238" s="32"/>
    </row>
    <row r="239" spans="6:23" x14ac:dyDescent="0.3">
      <c r="F239" s="32"/>
      <c r="G239" s="3"/>
      <c r="H239" s="3"/>
      <c r="I239" s="3"/>
      <c r="J239" s="3"/>
      <c r="K239" s="3"/>
      <c r="L239" s="5"/>
      <c r="M239" s="5"/>
      <c r="N239" s="5"/>
      <c r="O239" s="32"/>
      <c r="P239" s="32"/>
      <c r="Q239" s="32"/>
      <c r="R239" s="32"/>
      <c r="S239" s="32"/>
      <c r="T239" s="32"/>
      <c r="U239" s="32"/>
      <c r="V239" s="32"/>
      <c r="W239" s="32"/>
    </row>
    <row r="240" spans="6:23" x14ac:dyDescent="0.3">
      <c r="F240" s="32"/>
      <c r="G240" s="3"/>
      <c r="H240" s="3"/>
      <c r="I240" s="3"/>
      <c r="J240" s="3"/>
      <c r="K240" s="3"/>
      <c r="L240" s="5"/>
      <c r="M240" s="5"/>
      <c r="N240" s="5"/>
      <c r="O240" s="32"/>
      <c r="P240" s="32"/>
      <c r="Q240" s="32"/>
      <c r="R240" s="32"/>
      <c r="S240" s="32"/>
      <c r="T240" s="32"/>
      <c r="U240" s="32"/>
      <c r="V240" s="32"/>
      <c r="W240" s="32"/>
    </row>
    <row r="241" spans="6:23" x14ac:dyDescent="0.3">
      <c r="F241" s="32"/>
      <c r="G241" s="3"/>
      <c r="H241" s="3"/>
      <c r="I241" s="3"/>
      <c r="J241" s="3"/>
      <c r="K241" s="3"/>
      <c r="L241" s="5"/>
      <c r="M241" s="5"/>
      <c r="N241" s="5"/>
      <c r="O241" s="32"/>
      <c r="P241" s="32"/>
      <c r="Q241" s="32"/>
      <c r="R241" s="32"/>
      <c r="S241" s="32"/>
      <c r="T241" s="32"/>
      <c r="U241" s="32"/>
      <c r="V241" s="32"/>
      <c r="W241" s="32"/>
    </row>
    <row r="242" spans="6:23" x14ac:dyDescent="0.3">
      <c r="F242" s="32"/>
      <c r="G242" s="3"/>
      <c r="H242" s="3"/>
      <c r="I242" s="3"/>
      <c r="J242" s="3"/>
      <c r="K242" s="3"/>
      <c r="L242" s="5"/>
      <c r="M242" s="5"/>
      <c r="N242" s="5"/>
      <c r="O242" s="32"/>
      <c r="P242" s="32"/>
      <c r="Q242" s="32"/>
      <c r="R242" s="32"/>
      <c r="S242" s="32"/>
      <c r="T242" s="32"/>
      <c r="U242" s="32"/>
      <c r="V242" s="32"/>
      <c r="W242" s="32"/>
    </row>
    <row r="243" spans="6:23" x14ac:dyDescent="0.3">
      <c r="F243" s="32"/>
      <c r="G243" s="3"/>
      <c r="H243" s="3"/>
      <c r="I243" s="3"/>
      <c r="J243" s="3"/>
      <c r="K243" s="3"/>
      <c r="L243" s="5"/>
      <c r="M243" s="5"/>
      <c r="N243" s="5"/>
      <c r="O243" s="32"/>
      <c r="P243" s="32"/>
      <c r="Q243" s="32"/>
      <c r="R243" s="32"/>
      <c r="S243" s="32"/>
      <c r="T243" s="32"/>
      <c r="U243" s="32"/>
      <c r="V243" s="32"/>
      <c r="W243" s="32"/>
    </row>
    <row r="244" spans="6:23" x14ac:dyDescent="0.3">
      <c r="F244" s="32"/>
      <c r="G244" s="3"/>
      <c r="H244" s="3"/>
      <c r="I244" s="3"/>
      <c r="J244" s="3"/>
      <c r="K244" s="3"/>
      <c r="L244" s="5"/>
      <c r="M244" s="5"/>
      <c r="N244" s="5"/>
      <c r="O244" s="32"/>
      <c r="P244" s="32"/>
      <c r="Q244" s="32"/>
      <c r="R244" s="32"/>
      <c r="S244" s="32"/>
      <c r="T244" s="32"/>
      <c r="U244" s="32"/>
      <c r="V244" s="32"/>
      <c r="W244" s="32"/>
    </row>
    <row r="245" spans="6:23" x14ac:dyDescent="0.3">
      <c r="F245" s="32"/>
      <c r="G245" s="3"/>
      <c r="H245" s="3"/>
      <c r="I245" s="3"/>
      <c r="J245" s="3"/>
      <c r="K245" s="3"/>
      <c r="L245" s="5"/>
      <c r="M245" s="5"/>
      <c r="N245" s="5"/>
      <c r="O245" s="32"/>
      <c r="P245" s="32"/>
      <c r="Q245" s="32"/>
      <c r="R245" s="32"/>
      <c r="S245" s="32"/>
      <c r="T245" s="32"/>
      <c r="U245" s="32"/>
      <c r="V245" s="32"/>
      <c r="W245" s="32"/>
    </row>
    <row r="246" spans="6:23" x14ac:dyDescent="0.3">
      <c r="F246" s="32"/>
      <c r="G246" s="3"/>
      <c r="H246" s="3"/>
      <c r="I246" s="3"/>
      <c r="J246" s="3"/>
      <c r="K246" s="3"/>
      <c r="L246" s="5"/>
      <c r="M246" s="5"/>
      <c r="N246" s="5"/>
      <c r="O246" s="32"/>
      <c r="P246" s="32"/>
      <c r="Q246" s="32"/>
      <c r="R246" s="32"/>
      <c r="S246" s="32"/>
      <c r="T246" s="32"/>
      <c r="U246" s="32"/>
      <c r="V246" s="32"/>
      <c r="W246" s="32"/>
    </row>
    <row r="247" spans="6:23" x14ac:dyDescent="0.3">
      <c r="F247" s="32"/>
      <c r="G247" s="3"/>
      <c r="H247" s="3"/>
      <c r="I247" s="3"/>
      <c r="J247" s="3"/>
      <c r="K247" s="3"/>
      <c r="L247" s="5"/>
      <c r="M247" s="5"/>
      <c r="N247" s="5"/>
      <c r="O247" s="32"/>
      <c r="P247" s="32"/>
      <c r="Q247" s="32"/>
      <c r="R247" s="32"/>
      <c r="S247" s="32"/>
      <c r="T247" s="32"/>
      <c r="U247" s="32"/>
      <c r="V247" s="32"/>
      <c r="W247" s="32"/>
    </row>
    <row r="248" spans="6:23" x14ac:dyDescent="0.3">
      <c r="F248" s="32"/>
      <c r="G248" s="3"/>
      <c r="H248" s="3"/>
      <c r="I248" s="3"/>
      <c r="J248" s="3"/>
      <c r="K248" s="3"/>
      <c r="L248" s="5"/>
      <c r="M248" s="5"/>
      <c r="N248" s="5"/>
      <c r="O248" s="32"/>
      <c r="P248" s="32"/>
      <c r="Q248" s="32"/>
      <c r="R248" s="32"/>
      <c r="S248" s="32"/>
      <c r="T248" s="32"/>
      <c r="U248" s="32"/>
      <c r="V248" s="32"/>
      <c r="W248" s="32"/>
    </row>
    <row r="249" spans="6:23" x14ac:dyDescent="0.3">
      <c r="F249" s="32"/>
      <c r="G249" s="3"/>
      <c r="H249" s="3"/>
      <c r="I249" s="3"/>
      <c r="J249" s="3"/>
      <c r="K249" s="3"/>
      <c r="L249" s="5"/>
      <c r="M249" s="5"/>
      <c r="N249" s="5"/>
      <c r="O249" s="32"/>
      <c r="P249" s="32"/>
      <c r="Q249" s="32"/>
      <c r="R249" s="32"/>
      <c r="S249" s="32"/>
      <c r="T249" s="32"/>
      <c r="U249" s="32"/>
      <c r="V249" s="32"/>
      <c r="W249" s="32"/>
    </row>
    <row r="250" spans="6:23" x14ac:dyDescent="0.3">
      <c r="F250" s="32"/>
      <c r="G250" s="3"/>
      <c r="H250" s="3"/>
      <c r="I250" s="3"/>
      <c r="J250" s="3"/>
      <c r="K250" s="3"/>
      <c r="L250" s="5"/>
      <c r="M250" s="5"/>
      <c r="N250" s="5"/>
      <c r="O250" s="32"/>
      <c r="P250" s="32"/>
      <c r="Q250" s="32"/>
      <c r="R250" s="32"/>
      <c r="S250" s="32"/>
      <c r="T250" s="32"/>
      <c r="U250" s="32"/>
      <c r="V250" s="32"/>
      <c r="W250" s="32"/>
    </row>
    <row r="251" spans="6:23" x14ac:dyDescent="0.3">
      <c r="F251" s="32"/>
      <c r="G251" s="3"/>
      <c r="H251" s="3"/>
      <c r="I251" s="3"/>
      <c r="J251" s="3"/>
      <c r="K251" s="3"/>
      <c r="L251" s="5"/>
      <c r="M251" s="5"/>
      <c r="N251" s="5"/>
      <c r="O251" s="32"/>
      <c r="P251" s="32"/>
      <c r="Q251" s="32"/>
      <c r="R251" s="32"/>
      <c r="S251" s="32"/>
      <c r="T251" s="32"/>
      <c r="U251" s="32"/>
      <c r="V251" s="32"/>
      <c r="W251" s="32"/>
    </row>
    <row r="252" spans="6:23" x14ac:dyDescent="0.3">
      <c r="F252" s="32"/>
      <c r="G252" s="3"/>
      <c r="H252" s="3"/>
      <c r="I252" s="3"/>
      <c r="J252" s="3"/>
      <c r="K252" s="3"/>
      <c r="L252" s="5"/>
      <c r="M252" s="5"/>
      <c r="N252" s="5"/>
      <c r="O252" s="32"/>
      <c r="P252" s="32"/>
      <c r="Q252" s="32"/>
      <c r="R252" s="32"/>
      <c r="S252" s="32"/>
      <c r="T252" s="32"/>
      <c r="U252" s="32"/>
      <c r="V252" s="32"/>
      <c r="W252" s="32"/>
    </row>
    <row r="253" spans="6:23" x14ac:dyDescent="0.3">
      <c r="F253" s="32"/>
      <c r="G253" s="3"/>
      <c r="H253" s="3"/>
      <c r="I253" s="3"/>
      <c r="J253" s="3"/>
      <c r="K253" s="3"/>
      <c r="L253" s="5"/>
      <c r="M253" s="5"/>
      <c r="N253" s="5"/>
      <c r="O253" s="32"/>
      <c r="P253" s="32"/>
      <c r="Q253" s="32"/>
      <c r="R253" s="32"/>
      <c r="S253" s="32"/>
      <c r="T253" s="32"/>
      <c r="U253" s="32"/>
      <c r="V253" s="32"/>
      <c r="W253" s="32"/>
    </row>
    <row r="254" spans="6:23" x14ac:dyDescent="0.3">
      <c r="F254" s="32"/>
      <c r="G254" s="3"/>
      <c r="H254" s="3"/>
      <c r="I254" s="3"/>
      <c r="J254" s="3"/>
      <c r="K254" s="3"/>
      <c r="L254" s="5"/>
      <c r="M254" s="5"/>
      <c r="N254" s="5"/>
      <c r="O254" s="32"/>
      <c r="P254" s="32"/>
      <c r="Q254" s="32"/>
      <c r="R254" s="32"/>
      <c r="S254" s="32"/>
      <c r="T254" s="32"/>
      <c r="U254" s="32"/>
      <c r="V254" s="32"/>
      <c r="W254" s="32"/>
    </row>
    <row r="255" spans="6:23" x14ac:dyDescent="0.3">
      <c r="F255" s="32"/>
      <c r="G255" s="3"/>
      <c r="H255" s="3"/>
      <c r="I255" s="3"/>
      <c r="J255" s="3"/>
      <c r="K255" s="3"/>
      <c r="L255" s="5"/>
      <c r="M255" s="5"/>
      <c r="N255" s="5"/>
      <c r="O255" s="32"/>
      <c r="P255" s="32"/>
      <c r="Q255" s="32"/>
      <c r="R255" s="32"/>
      <c r="S255" s="32"/>
      <c r="T255" s="32"/>
      <c r="U255" s="32"/>
      <c r="V255" s="32"/>
      <c r="W255" s="32"/>
    </row>
    <row r="256" spans="6:23" x14ac:dyDescent="0.3">
      <c r="F256" s="32"/>
      <c r="G256" s="3"/>
      <c r="H256" s="3"/>
      <c r="I256" s="3"/>
      <c r="J256" s="3"/>
      <c r="K256" s="3"/>
      <c r="L256" s="5"/>
      <c r="M256" s="5"/>
      <c r="N256" s="5"/>
      <c r="O256" s="32"/>
      <c r="P256" s="32"/>
      <c r="Q256" s="32"/>
      <c r="R256" s="32"/>
      <c r="S256" s="32"/>
      <c r="T256" s="32"/>
      <c r="U256" s="32"/>
      <c r="V256" s="32"/>
      <c r="W256" s="32"/>
    </row>
    <row r="257" spans="6:23" x14ac:dyDescent="0.3">
      <c r="F257" s="32"/>
      <c r="G257" s="3"/>
      <c r="H257" s="3"/>
      <c r="I257" s="3"/>
      <c r="J257" s="3"/>
      <c r="K257" s="3"/>
      <c r="L257" s="5"/>
      <c r="M257" s="5"/>
      <c r="N257" s="5"/>
      <c r="O257" s="32"/>
      <c r="P257" s="32"/>
      <c r="Q257" s="32"/>
      <c r="R257" s="32"/>
      <c r="S257" s="32"/>
      <c r="T257" s="32"/>
      <c r="U257" s="32"/>
      <c r="V257" s="32"/>
      <c r="W257" s="32"/>
    </row>
    <row r="258" spans="6:23" x14ac:dyDescent="0.3">
      <c r="F258" s="32"/>
      <c r="G258" s="3"/>
      <c r="H258" s="3"/>
      <c r="I258" s="3"/>
      <c r="J258" s="3"/>
      <c r="K258" s="3"/>
      <c r="L258" s="5"/>
      <c r="M258" s="5"/>
      <c r="N258" s="5"/>
      <c r="O258" s="32"/>
      <c r="P258" s="32"/>
      <c r="Q258" s="32"/>
      <c r="R258" s="32"/>
      <c r="S258" s="32"/>
      <c r="T258" s="32"/>
      <c r="U258" s="32"/>
      <c r="V258" s="32"/>
      <c r="W258" s="32"/>
    </row>
    <row r="259" spans="6:23" x14ac:dyDescent="0.3">
      <c r="F259" s="32"/>
      <c r="G259" s="3"/>
      <c r="H259" s="3"/>
      <c r="I259" s="3"/>
      <c r="J259" s="3"/>
      <c r="K259" s="3"/>
      <c r="L259" s="5"/>
      <c r="M259" s="5"/>
      <c r="N259" s="5"/>
      <c r="O259" s="32"/>
      <c r="P259" s="32"/>
      <c r="Q259" s="32"/>
      <c r="R259" s="32"/>
      <c r="S259" s="32"/>
      <c r="T259" s="32"/>
      <c r="U259" s="32"/>
      <c r="V259" s="32"/>
      <c r="W259" s="32"/>
    </row>
    <row r="260" spans="6:23" x14ac:dyDescent="0.3">
      <c r="F260" s="32"/>
      <c r="G260" s="3"/>
      <c r="H260" s="3"/>
      <c r="I260" s="3"/>
      <c r="J260" s="3"/>
      <c r="K260" s="3"/>
      <c r="L260" s="5"/>
      <c r="M260" s="5"/>
      <c r="N260" s="5"/>
      <c r="O260" s="32"/>
      <c r="P260" s="32"/>
      <c r="Q260" s="32"/>
      <c r="R260" s="32"/>
      <c r="S260" s="32"/>
      <c r="T260" s="32"/>
      <c r="U260" s="32"/>
      <c r="V260" s="32"/>
      <c r="W260" s="32"/>
    </row>
    <row r="261" spans="6:23" x14ac:dyDescent="0.3">
      <c r="F261" s="32"/>
      <c r="G261" s="3"/>
      <c r="H261" s="3"/>
      <c r="I261" s="3"/>
      <c r="J261" s="3"/>
      <c r="K261" s="3"/>
      <c r="L261" s="5"/>
      <c r="M261" s="5"/>
      <c r="N261" s="5"/>
      <c r="O261" s="32"/>
      <c r="P261" s="32"/>
      <c r="Q261" s="32"/>
      <c r="R261" s="32"/>
      <c r="S261" s="32"/>
      <c r="T261" s="32"/>
      <c r="U261" s="32"/>
      <c r="V261" s="32"/>
      <c r="W261" s="32"/>
    </row>
    <row r="262" spans="6:23" x14ac:dyDescent="0.3">
      <c r="F262" s="32"/>
      <c r="G262" s="3"/>
      <c r="H262" s="3"/>
      <c r="I262" s="3"/>
      <c r="J262" s="3"/>
      <c r="K262" s="3"/>
      <c r="L262" s="5"/>
      <c r="M262" s="5"/>
      <c r="N262" s="5"/>
      <c r="O262" s="32"/>
      <c r="P262" s="32"/>
      <c r="Q262" s="32"/>
      <c r="R262" s="32"/>
      <c r="S262" s="32"/>
      <c r="T262" s="32"/>
      <c r="U262" s="32"/>
      <c r="V262" s="32"/>
      <c r="W262" s="32"/>
    </row>
    <row r="263" spans="6:23" x14ac:dyDescent="0.3">
      <c r="F263" s="32"/>
      <c r="G263" s="3"/>
      <c r="H263" s="3"/>
      <c r="I263" s="3"/>
      <c r="J263" s="3"/>
      <c r="K263" s="3"/>
      <c r="L263" s="5"/>
      <c r="M263" s="5"/>
      <c r="N263" s="5"/>
      <c r="O263" s="32"/>
      <c r="P263" s="32"/>
      <c r="Q263" s="32"/>
      <c r="R263" s="32"/>
      <c r="S263" s="32"/>
      <c r="T263" s="32"/>
      <c r="U263" s="32"/>
      <c r="V263" s="32"/>
      <c r="W263" s="32"/>
    </row>
    <row r="264" spans="6:23" x14ac:dyDescent="0.3">
      <c r="F264" s="32"/>
      <c r="G264" s="3"/>
      <c r="H264" s="3"/>
      <c r="I264" s="3"/>
      <c r="J264" s="3"/>
      <c r="K264" s="3"/>
      <c r="L264" s="5"/>
      <c r="M264" s="5"/>
      <c r="N264" s="5"/>
      <c r="O264" s="32"/>
      <c r="P264" s="32"/>
      <c r="Q264" s="32"/>
      <c r="R264" s="32"/>
      <c r="S264" s="32"/>
      <c r="T264" s="32"/>
      <c r="U264" s="32"/>
      <c r="V264" s="32"/>
      <c r="W264" s="32"/>
    </row>
    <row r="265" spans="6:23" x14ac:dyDescent="0.3">
      <c r="F265" s="32"/>
      <c r="G265" s="3"/>
      <c r="H265" s="3"/>
      <c r="I265" s="3"/>
      <c r="J265" s="3"/>
      <c r="K265" s="3"/>
      <c r="L265" s="5"/>
      <c r="M265" s="5"/>
      <c r="N265" s="5"/>
      <c r="O265" s="32"/>
      <c r="P265" s="32"/>
      <c r="Q265" s="32"/>
      <c r="R265" s="32"/>
      <c r="S265" s="32"/>
      <c r="T265" s="32"/>
      <c r="U265" s="32"/>
      <c r="V265" s="32"/>
      <c r="W265" s="32"/>
    </row>
    <row r="266" spans="6:23" x14ac:dyDescent="0.3">
      <c r="F266" s="32"/>
      <c r="G266" s="3"/>
      <c r="H266" s="3"/>
      <c r="I266" s="3"/>
      <c r="J266" s="3"/>
      <c r="K266" s="3"/>
      <c r="L266" s="5"/>
      <c r="M266" s="5"/>
      <c r="N266" s="5"/>
      <c r="O266" s="32"/>
      <c r="P266" s="32"/>
      <c r="Q266" s="32"/>
      <c r="R266" s="32"/>
      <c r="S266" s="32"/>
      <c r="T266" s="32"/>
      <c r="U266" s="32"/>
      <c r="V266" s="32"/>
      <c r="W266" s="32"/>
    </row>
    <row r="267" spans="6:23" x14ac:dyDescent="0.3">
      <c r="F267" s="32"/>
      <c r="G267" s="3"/>
      <c r="H267" s="3"/>
      <c r="I267" s="3"/>
      <c r="J267" s="3"/>
      <c r="K267" s="3"/>
      <c r="L267" s="5"/>
      <c r="M267" s="5"/>
      <c r="N267" s="5"/>
      <c r="O267" s="32"/>
      <c r="P267" s="32"/>
      <c r="Q267" s="32"/>
      <c r="R267" s="32"/>
      <c r="S267" s="32"/>
      <c r="T267" s="32"/>
      <c r="U267" s="32"/>
      <c r="V267" s="32"/>
      <c r="W267" s="32"/>
    </row>
    <row r="268" spans="6:23" x14ac:dyDescent="0.3">
      <c r="F268" s="32"/>
      <c r="G268" s="3"/>
      <c r="H268" s="3"/>
      <c r="I268" s="3"/>
      <c r="J268" s="3"/>
      <c r="K268" s="3"/>
      <c r="L268" s="5"/>
      <c r="M268" s="5"/>
      <c r="N268" s="5"/>
      <c r="O268" s="32"/>
      <c r="P268" s="32"/>
      <c r="Q268" s="32"/>
      <c r="R268" s="32"/>
      <c r="S268" s="32"/>
      <c r="T268" s="32"/>
      <c r="U268" s="32"/>
      <c r="V268" s="32"/>
      <c r="W268" s="32"/>
    </row>
    <row r="269" spans="6:23" x14ac:dyDescent="0.3">
      <c r="F269" s="32"/>
      <c r="G269" s="3"/>
      <c r="H269" s="3"/>
      <c r="I269" s="3"/>
      <c r="J269" s="3"/>
      <c r="K269" s="3"/>
      <c r="L269" s="5"/>
      <c r="M269" s="5"/>
      <c r="N269" s="5"/>
      <c r="O269" s="32"/>
      <c r="P269" s="32"/>
      <c r="Q269" s="32"/>
      <c r="R269" s="32"/>
      <c r="S269" s="32"/>
      <c r="T269" s="32"/>
      <c r="U269" s="32"/>
      <c r="V269" s="32"/>
      <c r="W269" s="32"/>
    </row>
    <row r="270" spans="6:23" x14ac:dyDescent="0.3">
      <c r="F270" s="32"/>
      <c r="G270" s="3"/>
      <c r="H270" s="3"/>
      <c r="I270" s="3"/>
      <c r="J270" s="3"/>
      <c r="K270" s="3"/>
      <c r="L270" s="5"/>
      <c r="M270" s="5"/>
      <c r="N270" s="5"/>
      <c r="O270" s="32"/>
      <c r="P270" s="32"/>
      <c r="Q270" s="32"/>
      <c r="R270" s="32"/>
      <c r="S270" s="32"/>
      <c r="T270" s="32"/>
      <c r="U270" s="32"/>
      <c r="V270" s="32"/>
      <c r="W270" s="32"/>
    </row>
    <row r="271" spans="6:23" x14ac:dyDescent="0.3">
      <c r="F271" s="32"/>
      <c r="G271" s="3"/>
      <c r="H271" s="3"/>
      <c r="I271" s="3"/>
      <c r="J271" s="3"/>
      <c r="K271" s="3"/>
      <c r="L271" s="5"/>
      <c r="M271" s="5"/>
      <c r="N271" s="5"/>
      <c r="O271" s="32"/>
      <c r="P271" s="32"/>
      <c r="Q271" s="32"/>
      <c r="R271" s="32"/>
      <c r="S271" s="32"/>
      <c r="T271" s="32"/>
      <c r="U271" s="32"/>
      <c r="V271" s="32"/>
      <c r="W271" s="32"/>
    </row>
    <row r="272" spans="6:23" x14ac:dyDescent="0.3">
      <c r="F272" s="32"/>
      <c r="G272" s="3"/>
      <c r="H272" s="3"/>
      <c r="I272" s="3"/>
      <c r="J272" s="3"/>
      <c r="K272" s="3"/>
      <c r="L272" s="5"/>
      <c r="M272" s="5"/>
      <c r="N272" s="5"/>
      <c r="O272" s="32"/>
      <c r="P272" s="32"/>
      <c r="Q272" s="32"/>
      <c r="R272" s="32"/>
      <c r="S272" s="32"/>
      <c r="T272" s="32"/>
      <c r="U272" s="32"/>
      <c r="V272" s="32"/>
      <c r="W272" s="32"/>
    </row>
    <row r="273" spans="6:23" x14ac:dyDescent="0.3">
      <c r="F273" s="32"/>
      <c r="G273" s="3"/>
      <c r="H273" s="3"/>
      <c r="I273" s="3"/>
      <c r="J273" s="3"/>
      <c r="K273" s="3"/>
      <c r="L273" s="5"/>
      <c r="M273" s="5"/>
      <c r="N273" s="5"/>
      <c r="O273" s="32"/>
      <c r="P273" s="32"/>
      <c r="Q273" s="32"/>
      <c r="R273" s="32"/>
      <c r="S273" s="32"/>
      <c r="T273" s="32"/>
      <c r="U273" s="32"/>
      <c r="V273" s="32"/>
      <c r="W273" s="32"/>
    </row>
    <row r="274" spans="6:23" x14ac:dyDescent="0.3">
      <c r="F274" s="32"/>
      <c r="G274" s="3"/>
      <c r="H274" s="3"/>
      <c r="I274" s="3"/>
      <c r="J274" s="3"/>
      <c r="K274" s="3"/>
      <c r="L274" s="5"/>
      <c r="M274" s="5"/>
      <c r="N274" s="5"/>
      <c r="O274" s="32"/>
      <c r="P274" s="32"/>
      <c r="Q274" s="32"/>
      <c r="R274" s="32"/>
      <c r="S274" s="32"/>
      <c r="T274" s="32"/>
      <c r="U274" s="32"/>
      <c r="V274" s="32"/>
      <c r="W274" s="32"/>
    </row>
    <row r="275" spans="6:23" x14ac:dyDescent="0.3">
      <c r="F275" s="32"/>
      <c r="G275" s="3"/>
      <c r="H275" s="3"/>
      <c r="I275" s="3"/>
      <c r="J275" s="3"/>
      <c r="K275" s="3"/>
      <c r="L275" s="5"/>
      <c r="M275" s="5"/>
      <c r="N275" s="5"/>
      <c r="O275" s="32"/>
      <c r="P275" s="32"/>
      <c r="Q275" s="32"/>
      <c r="R275" s="32"/>
      <c r="S275" s="32"/>
      <c r="T275" s="32"/>
      <c r="U275" s="32"/>
      <c r="V275" s="32"/>
      <c r="W275" s="32"/>
    </row>
    <row r="276" spans="6:23" x14ac:dyDescent="0.3">
      <c r="F276" s="32"/>
      <c r="G276" s="3"/>
      <c r="H276" s="3"/>
      <c r="I276" s="3"/>
      <c r="J276" s="3"/>
      <c r="K276" s="3"/>
      <c r="L276" s="5"/>
      <c r="M276" s="5"/>
      <c r="N276" s="5"/>
      <c r="O276" s="32"/>
      <c r="P276" s="32"/>
      <c r="Q276" s="32"/>
      <c r="R276" s="32"/>
      <c r="S276" s="32"/>
      <c r="T276" s="32"/>
      <c r="U276" s="32"/>
      <c r="V276" s="32"/>
      <c r="W276" s="32"/>
    </row>
    <row r="277" spans="6:23" x14ac:dyDescent="0.3">
      <c r="F277" s="32"/>
      <c r="G277" s="3"/>
      <c r="H277" s="3"/>
      <c r="I277" s="3"/>
      <c r="J277" s="3"/>
      <c r="K277" s="3"/>
      <c r="L277" s="5"/>
      <c r="M277" s="5"/>
      <c r="N277" s="5"/>
      <c r="O277" s="32"/>
      <c r="P277" s="32"/>
      <c r="Q277" s="32"/>
      <c r="R277" s="32"/>
      <c r="S277" s="32"/>
      <c r="T277" s="32"/>
      <c r="U277" s="32"/>
      <c r="V277" s="32"/>
      <c r="W277" s="32"/>
    </row>
    <row r="278" spans="6:23" x14ac:dyDescent="0.3">
      <c r="F278" s="32"/>
      <c r="G278" s="3"/>
      <c r="H278" s="3"/>
      <c r="I278" s="3"/>
      <c r="J278" s="3"/>
      <c r="K278" s="3"/>
      <c r="L278" s="5"/>
      <c r="M278" s="5"/>
      <c r="N278" s="5"/>
      <c r="O278" s="32"/>
      <c r="P278" s="32"/>
      <c r="Q278" s="32"/>
      <c r="R278" s="32"/>
      <c r="S278" s="32"/>
      <c r="T278" s="32"/>
      <c r="U278" s="32"/>
      <c r="V278" s="32"/>
      <c r="W278" s="32"/>
    </row>
    <row r="279" spans="6:23" x14ac:dyDescent="0.3">
      <c r="F279" s="32"/>
      <c r="G279" s="3"/>
      <c r="H279" s="3"/>
      <c r="I279" s="3"/>
      <c r="J279" s="3"/>
      <c r="K279" s="3"/>
      <c r="L279" s="5"/>
      <c r="M279" s="5"/>
      <c r="N279" s="5"/>
      <c r="O279" s="32"/>
      <c r="P279" s="32"/>
      <c r="Q279" s="32"/>
      <c r="R279" s="32"/>
      <c r="S279" s="32"/>
      <c r="T279" s="32"/>
      <c r="U279" s="32"/>
      <c r="V279" s="32"/>
      <c r="W279" s="32"/>
    </row>
    <row r="280" spans="6:23" x14ac:dyDescent="0.3">
      <c r="F280" s="32"/>
      <c r="G280" s="3"/>
      <c r="H280" s="3"/>
      <c r="I280" s="3"/>
      <c r="J280" s="3"/>
      <c r="K280" s="3"/>
      <c r="L280" s="5"/>
      <c r="M280" s="5"/>
      <c r="N280" s="5"/>
      <c r="O280" s="32"/>
      <c r="P280" s="32"/>
      <c r="Q280" s="32"/>
      <c r="R280" s="32"/>
      <c r="S280" s="32"/>
      <c r="T280" s="32"/>
      <c r="U280" s="32"/>
      <c r="V280" s="32"/>
      <c r="W280" s="32"/>
    </row>
    <row r="281" spans="6:23" x14ac:dyDescent="0.3">
      <c r="F281" s="32"/>
      <c r="G281" s="3"/>
      <c r="H281" s="3"/>
      <c r="I281" s="3"/>
      <c r="J281" s="3"/>
      <c r="K281" s="3"/>
      <c r="L281" s="5"/>
      <c r="M281" s="5"/>
      <c r="N281" s="5"/>
      <c r="O281" s="32"/>
      <c r="P281" s="32"/>
      <c r="Q281" s="32"/>
      <c r="R281" s="32"/>
      <c r="S281" s="32"/>
      <c r="T281" s="32"/>
      <c r="U281" s="32"/>
      <c r="V281" s="32"/>
      <c r="W281" s="32"/>
    </row>
    <row r="282" spans="6:23" x14ac:dyDescent="0.3">
      <c r="F282" s="32"/>
      <c r="G282" s="3"/>
      <c r="H282" s="3"/>
      <c r="I282" s="3"/>
      <c r="J282" s="3"/>
      <c r="K282" s="3"/>
      <c r="L282" s="5"/>
      <c r="M282" s="5"/>
      <c r="N282" s="5"/>
      <c r="O282" s="32"/>
      <c r="P282" s="32"/>
      <c r="Q282" s="32"/>
      <c r="R282" s="32"/>
      <c r="S282" s="32"/>
      <c r="T282" s="32"/>
      <c r="U282" s="32"/>
      <c r="V282" s="32"/>
      <c r="W282" s="32"/>
    </row>
    <row r="283" spans="6:23" x14ac:dyDescent="0.3">
      <c r="F283" s="32"/>
      <c r="G283" s="3"/>
      <c r="H283" s="3"/>
      <c r="I283" s="3"/>
      <c r="J283" s="3"/>
      <c r="K283" s="3"/>
      <c r="L283" s="5"/>
      <c r="M283" s="5"/>
      <c r="N283" s="5"/>
      <c r="O283" s="32"/>
      <c r="P283" s="32"/>
      <c r="Q283" s="32"/>
      <c r="R283" s="32"/>
      <c r="S283" s="32"/>
      <c r="T283" s="32"/>
      <c r="U283" s="32"/>
      <c r="V283" s="32"/>
      <c r="W283" s="32"/>
    </row>
    <row r="284" spans="6:23" x14ac:dyDescent="0.3">
      <c r="F284" s="32"/>
      <c r="G284" s="3"/>
      <c r="H284" s="3"/>
      <c r="I284" s="3"/>
      <c r="J284" s="3"/>
      <c r="K284" s="3"/>
      <c r="L284" s="5"/>
      <c r="M284" s="5"/>
      <c r="N284" s="5"/>
      <c r="O284" s="32"/>
      <c r="P284" s="32"/>
      <c r="Q284" s="32"/>
      <c r="R284" s="32"/>
      <c r="S284" s="32"/>
      <c r="T284" s="32"/>
      <c r="U284" s="32"/>
      <c r="V284" s="32"/>
      <c r="W284" s="32"/>
    </row>
    <row r="285" spans="6:23" x14ac:dyDescent="0.3">
      <c r="F285" s="32"/>
      <c r="G285" s="3"/>
      <c r="H285" s="3"/>
      <c r="I285" s="3"/>
      <c r="J285" s="3"/>
      <c r="K285" s="3"/>
      <c r="L285" s="5"/>
      <c r="M285" s="5"/>
      <c r="N285" s="5"/>
      <c r="O285" s="32"/>
      <c r="P285" s="32"/>
      <c r="Q285" s="32"/>
      <c r="R285" s="32"/>
      <c r="S285" s="32"/>
      <c r="T285" s="32"/>
      <c r="U285" s="32"/>
      <c r="V285" s="32"/>
      <c r="W285" s="32"/>
    </row>
    <row r="286" spans="6:23" x14ac:dyDescent="0.3">
      <c r="F286" s="32"/>
      <c r="G286" s="3"/>
      <c r="H286" s="3"/>
      <c r="I286" s="3"/>
      <c r="J286" s="3"/>
      <c r="K286" s="3"/>
      <c r="L286" s="5"/>
      <c r="M286" s="5"/>
      <c r="N286" s="5"/>
      <c r="O286" s="32"/>
      <c r="P286" s="32"/>
      <c r="Q286" s="32"/>
      <c r="R286" s="32"/>
      <c r="S286" s="32"/>
      <c r="T286" s="32"/>
      <c r="U286" s="32"/>
      <c r="V286" s="32"/>
      <c r="W286" s="32"/>
    </row>
    <row r="287" spans="6:23" x14ac:dyDescent="0.3">
      <c r="F287" s="32"/>
      <c r="G287" s="3"/>
      <c r="H287" s="3"/>
      <c r="I287" s="3"/>
      <c r="J287" s="3"/>
      <c r="K287" s="3"/>
      <c r="L287" s="5"/>
      <c r="M287" s="5"/>
      <c r="N287" s="5"/>
      <c r="O287" s="32"/>
      <c r="P287" s="32"/>
      <c r="Q287" s="32"/>
      <c r="R287" s="32"/>
      <c r="S287" s="32"/>
      <c r="T287" s="32"/>
      <c r="U287" s="32"/>
      <c r="V287" s="32"/>
      <c r="W287" s="32"/>
    </row>
    <row r="288" spans="6:23" x14ac:dyDescent="0.3">
      <c r="F288" s="32"/>
      <c r="G288" s="3"/>
      <c r="H288" s="3"/>
      <c r="I288" s="3"/>
      <c r="J288" s="3"/>
      <c r="K288" s="3"/>
      <c r="L288" s="5"/>
      <c r="M288" s="5"/>
      <c r="N288" s="5"/>
      <c r="O288" s="32"/>
      <c r="P288" s="32"/>
      <c r="Q288" s="32"/>
      <c r="R288" s="32"/>
      <c r="S288" s="32"/>
      <c r="T288" s="32"/>
      <c r="U288" s="32"/>
      <c r="V288" s="32"/>
      <c r="W288" s="32"/>
    </row>
    <row r="289" spans="6:23" x14ac:dyDescent="0.3">
      <c r="F289" s="32"/>
      <c r="G289" s="3"/>
      <c r="H289" s="3"/>
      <c r="I289" s="3"/>
      <c r="J289" s="3"/>
      <c r="K289" s="3"/>
      <c r="L289" s="5"/>
      <c r="M289" s="5"/>
      <c r="N289" s="5"/>
      <c r="O289" s="32"/>
      <c r="P289" s="32"/>
      <c r="Q289" s="32"/>
      <c r="R289" s="32"/>
      <c r="S289" s="32"/>
      <c r="T289" s="32"/>
      <c r="U289" s="32"/>
      <c r="V289" s="32"/>
      <c r="W289" s="32"/>
    </row>
    <row r="290" spans="6:23" x14ac:dyDescent="0.3">
      <c r="F290" s="32"/>
      <c r="G290" s="3"/>
      <c r="H290" s="3"/>
      <c r="I290" s="3"/>
      <c r="J290" s="3"/>
      <c r="K290" s="3"/>
      <c r="L290" s="5"/>
      <c r="M290" s="5"/>
      <c r="N290" s="5"/>
      <c r="O290" s="32"/>
      <c r="P290" s="32"/>
      <c r="Q290" s="32"/>
      <c r="R290" s="32"/>
      <c r="S290" s="32"/>
      <c r="T290" s="32"/>
      <c r="U290" s="32"/>
      <c r="V290" s="32"/>
      <c r="W290" s="32"/>
    </row>
    <row r="291" spans="6:23" x14ac:dyDescent="0.3">
      <c r="F291" s="32"/>
      <c r="G291" s="3"/>
      <c r="H291" s="3"/>
      <c r="I291" s="3"/>
      <c r="J291" s="3"/>
      <c r="K291" s="3"/>
      <c r="L291" s="5"/>
      <c r="M291" s="5"/>
      <c r="N291" s="5"/>
      <c r="O291" s="32"/>
      <c r="P291" s="32"/>
      <c r="Q291" s="32"/>
      <c r="R291" s="32"/>
      <c r="S291" s="32"/>
      <c r="T291" s="32"/>
      <c r="U291" s="32"/>
      <c r="V291" s="32"/>
      <c r="W291" s="32"/>
    </row>
    <row r="292" spans="6:23" x14ac:dyDescent="0.3">
      <c r="F292" s="32"/>
      <c r="G292" s="3"/>
      <c r="H292" s="3"/>
      <c r="I292" s="3"/>
      <c r="J292" s="3"/>
      <c r="K292" s="3"/>
      <c r="L292" s="5"/>
      <c r="M292" s="5"/>
      <c r="N292" s="5"/>
      <c r="O292" s="32"/>
      <c r="P292" s="32"/>
      <c r="Q292" s="32"/>
      <c r="R292" s="32"/>
      <c r="S292" s="32"/>
      <c r="T292" s="32"/>
      <c r="U292" s="32"/>
      <c r="V292" s="32"/>
      <c r="W292" s="32"/>
    </row>
    <row r="293" spans="6:23" x14ac:dyDescent="0.3">
      <c r="F293" s="32"/>
      <c r="G293" s="3"/>
      <c r="H293" s="3"/>
      <c r="I293" s="3"/>
      <c r="J293" s="3"/>
      <c r="K293" s="3"/>
      <c r="L293" s="5"/>
      <c r="M293" s="5"/>
      <c r="N293" s="5"/>
      <c r="O293" s="32"/>
      <c r="P293" s="32"/>
      <c r="Q293" s="32"/>
      <c r="R293" s="32"/>
      <c r="S293" s="32"/>
      <c r="T293" s="32"/>
      <c r="U293" s="32"/>
      <c r="V293" s="32"/>
      <c r="W293" s="32"/>
    </row>
    <row r="294" spans="6:23" x14ac:dyDescent="0.3">
      <c r="F294" s="32"/>
      <c r="G294" s="3"/>
      <c r="H294" s="3"/>
      <c r="I294" s="3"/>
      <c r="J294" s="3"/>
      <c r="K294" s="3"/>
      <c r="L294" s="5"/>
      <c r="M294" s="5"/>
      <c r="N294" s="5"/>
      <c r="O294" s="32"/>
      <c r="P294" s="32"/>
      <c r="Q294" s="32"/>
      <c r="R294" s="32"/>
      <c r="S294" s="32"/>
      <c r="T294" s="32"/>
      <c r="U294" s="32"/>
      <c r="V294" s="32"/>
      <c r="W294" s="32"/>
    </row>
    <row r="295" spans="6:23" x14ac:dyDescent="0.3">
      <c r="F295" s="32"/>
      <c r="G295" s="3"/>
      <c r="H295" s="3"/>
      <c r="I295" s="3"/>
      <c r="J295" s="3"/>
      <c r="K295" s="3"/>
      <c r="L295" s="5"/>
      <c r="M295" s="5"/>
      <c r="N295" s="5"/>
      <c r="O295" s="32"/>
      <c r="P295" s="32"/>
      <c r="Q295" s="32"/>
      <c r="R295" s="32"/>
      <c r="S295" s="32"/>
      <c r="T295" s="32"/>
      <c r="U295" s="32"/>
      <c r="V295" s="32"/>
      <c r="W295" s="32"/>
    </row>
    <row r="296" spans="6:23" x14ac:dyDescent="0.3">
      <c r="F296" s="32"/>
      <c r="G296" s="3"/>
      <c r="H296" s="3"/>
      <c r="I296" s="3"/>
      <c r="J296" s="3"/>
      <c r="K296" s="3"/>
      <c r="L296" s="5"/>
      <c r="M296" s="5"/>
      <c r="N296" s="5"/>
      <c r="O296" s="32"/>
      <c r="P296" s="32"/>
      <c r="Q296" s="32"/>
      <c r="R296" s="32"/>
      <c r="S296" s="32"/>
      <c r="T296" s="32"/>
      <c r="U296" s="32"/>
      <c r="V296" s="32"/>
      <c r="W296" s="32"/>
    </row>
    <row r="297" spans="6:23" x14ac:dyDescent="0.3">
      <c r="F297" s="32"/>
      <c r="G297" s="3"/>
      <c r="H297" s="3"/>
      <c r="I297" s="3"/>
      <c r="J297" s="3"/>
      <c r="K297" s="3"/>
      <c r="L297" s="5"/>
      <c r="M297" s="5"/>
      <c r="N297" s="5"/>
      <c r="O297" s="32"/>
      <c r="P297" s="32"/>
      <c r="Q297" s="32"/>
      <c r="R297" s="32"/>
      <c r="S297" s="32"/>
      <c r="T297" s="32"/>
      <c r="U297" s="32"/>
      <c r="V297" s="32"/>
      <c r="W297" s="32"/>
    </row>
    <row r="298" spans="6:23" x14ac:dyDescent="0.3">
      <c r="F298" s="32"/>
      <c r="G298" s="3"/>
      <c r="H298" s="3"/>
      <c r="I298" s="3"/>
      <c r="J298" s="3"/>
      <c r="K298" s="3"/>
      <c r="L298" s="5"/>
      <c r="M298" s="5"/>
      <c r="N298" s="5"/>
      <c r="O298" s="32"/>
      <c r="P298" s="32"/>
      <c r="Q298" s="32"/>
      <c r="R298" s="32"/>
      <c r="S298" s="32"/>
      <c r="T298" s="32"/>
      <c r="U298" s="32"/>
      <c r="V298" s="32"/>
      <c r="W298" s="32"/>
    </row>
    <row r="299" spans="6:23" x14ac:dyDescent="0.3">
      <c r="F299" s="32"/>
      <c r="G299" s="3"/>
      <c r="H299" s="3"/>
      <c r="I299" s="3"/>
      <c r="J299" s="3"/>
      <c r="K299" s="3"/>
      <c r="L299" s="5"/>
      <c r="M299" s="5"/>
      <c r="N299" s="5"/>
      <c r="O299" s="32"/>
      <c r="P299" s="32"/>
      <c r="Q299" s="32"/>
      <c r="R299" s="32"/>
      <c r="S299" s="32"/>
      <c r="T299" s="32"/>
      <c r="U299" s="32"/>
      <c r="V299" s="32"/>
      <c r="W299" s="32"/>
    </row>
    <row r="300" spans="6:23" x14ac:dyDescent="0.3">
      <c r="F300" s="32"/>
      <c r="G300" s="3"/>
      <c r="H300" s="3"/>
      <c r="I300" s="3"/>
      <c r="J300" s="3"/>
      <c r="K300" s="3"/>
      <c r="L300" s="5"/>
      <c r="M300" s="5"/>
      <c r="N300" s="5"/>
      <c r="O300" s="32"/>
      <c r="P300" s="32"/>
      <c r="Q300" s="32"/>
      <c r="R300" s="32"/>
      <c r="S300" s="32"/>
      <c r="T300" s="32"/>
      <c r="U300" s="32"/>
      <c r="V300" s="32"/>
      <c r="W300" s="32"/>
    </row>
    <row r="301" spans="6:23" x14ac:dyDescent="0.3">
      <c r="F301" s="32"/>
      <c r="G301" s="3"/>
      <c r="H301" s="3"/>
      <c r="I301" s="3"/>
      <c r="J301" s="3"/>
      <c r="K301" s="3"/>
      <c r="L301" s="5"/>
      <c r="M301" s="5"/>
      <c r="N301" s="5"/>
      <c r="O301" s="32"/>
      <c r="P301" s="32"/>
      <c r="Q301" s="32"/>
      <c r="R301" s="32"/>
      <c r="S301" s="32"/>
      <c r="T301" s="32"/>
      <c r="U301" s="32"/>
      <c r="V301" s="32"/>
      <c r="W301" s="32"/>
    </row>
    <row r="302" spans="6:23" x14ac:dyDescent="0.3">
      <c r="F302" s="32"/>
      <c r="G302" s="3"/>
      <c r="H302" s="3"/>
      <c r="I302" s="3"/>
      <c r="J302" s="3"/>
      <c r="K302" s="3"/>
      <c r="L302" s="5"/>
      <c r="M302" s="5"/>
      <c r="N302" s="5"/>
      <c r="O302" s="32"/>
      <c r="P302" s="32"/>
      <c r="Q302" s="32"/>
      <c r="R302" s="32"/>
      <c r="S302" s="32"/>
      <c r="T302" s="32"/>
      <c r="U302" s="32"/>
      <c r="V302" s="32"/>
      <c r="W302" s="32"/>
    </row>
    <row r="303" spans="6:23" x14ac:dyDescent="0.3">
      <c r="F303" s="32"/>
      <c r="G303" s="3"/>
      <c r="H303" s="3"/>
      <c r="I303" s="3"/>
      <c r="J303" s="3"/>
      <c r="K303" s="3"/>
      <c r="L303" s="5"/>
      <c r="M303" s="5"/>
      <c r="N303" s="5"/>
      <c r="O303" s="32"/>
      <c r="P303" s="32"/>
      <c r="Q303" s="32"/>
      <c r="R303" s="32"/>
      <c r="S303" s="32"/>
      <c r="T303" s="32"/>
      <c r="U303" s="32"/>
      <c r="V303" s="32"/>
      <c r="W303" s="32"/>
    </row>
    <row r="304" spans="6:23" x14ac:dyDescent="0.3">
      <c r="F304" s="32"/>
      <c r="G304" s="3"/>
      <c r="H304" s="3"/>
      <c r="I304" s="3"/>
      <c r="J304" s="3"/>
      <c r="K304" s="3"/>
      <c r="L304" s="5"/>
      <c r="M304" s="5"/>
      <c r="N304" s="5"/>
      <c r="O304" s="32"/>
      <c r="P304" s="32"/>
      <c r="Q304" s="32"/>
      <c r="R304" s="32"/>
      <c r="S304" s="32"/>
      <c r="T304" s="32"/>
      <c r="U304" s="32"/>
      <c r="V304" s="32"/>
      <c r="W304" s="32"/>
    </row>
    <row r="305" spans="6:23" x14ac:dyDescent="0.3">
      <c r="F305" s="32"/>
      <c r="G305" s="3"/>
      <c r="H305" s="3"/>
      <c r="I305" s="3"/>
      <c r="J305" s="3"/>
      <c r="K305" s="3"/>
      <c r="L305" s="5"/>
      <c r="M305" s="5"/>
      <c r="N305" s="5"/>
      <c r="O305" s="32"/>
      <c r="P305" s="32"/>
      <c r="Q305" s="32"/>
      <c r="R305" s="32"/>
      <c r="S305" s="32"/>
      <c r="T305" s="32"/>
      <c r="U305" s="32"/>
      <c r="V305" s="32"/>
      <c r="W305" s="32"/>
    </row>
    <row r="306" spans="6:23" x14ac:dyDescent="0.3">
      <c r="F306" s="32"/>
      <c r="G306" s="3"/>
      <c r="H306" s="3"/>
      <c r="I306" s="3"/>
      <c r="J306" s="3"/>
      <c r="K306" s="3"/>
      <c r="L306" s="5"/>
      <c r="M306" s="5"/>
      <c r="N306" s="5"/>
      <c r="O306" s="32"/>
      <c r="P306" s="32"/>
      <c r="Q306" s="32"/>
      <c r="R306" s="32"/>
      <c r="S306" s="32"/>
      <c r="T306" s="32"/>
      <c r="U306" s="32"/>
      <c r="V306" s="32"/>
      <c r="W306" s="32"/>
    </row>
    <row r="307" spans="6:23" x14ac:dyDescent="0.3">
      <c r="F307" s="32"/>
      <c r="G307" s="3"/>
      <c r="H307" s="3"/>
      <c r="I307" s="3"/>
      <c r="J307" s="3"/>
      <c r="K307" s="3"/>
      <c r="L307" s="5"/>
      <c r="M307" s="5"/>
      <c r="N307" s="5"/>
      <c r="O307" s="32"/>
      <c r="P307" s="32"/>
      <c r="Q307" s="32"/>
      <c r="R307" s="32"/>
      <c r="S307" s="32"/>
      <c r="T307" s="32"/>
      <c r="U307" s="32"/>
      <c r="V307" s="32"/>
      <c r="W307" s="32"/>
    </row>
    <row r="308" spans="6:23" x14ac:dyDescent="0.3">
      <c r="F308" s="32"/>
      <c r="G308" s="3"/>
      <c r="H308" s="3"/>
      <c r="I308" s="3"/>
      <c r="J308" s="3"/>
      <c r="K308" s="3"/>
      <c r="L308" s="5"/>
      <c r="M308" s="5"/>
      <c r="N308" s="5"/>
      <c r="O308" s="32"/>
      <c r="P308" s="32"/>
      <c r="Q308" s="32"/>
      <c r="R308" s="32"/>
      <c r="S308" s="32"/>
      <c r="T308" s="32"/>
      <c r="U308" s="32"/>
      <c r="V308" s="32"/>
      <c r="W308" s="32"/>
    </row>
    <row r="309" spans="6:23" x14ac:dyDescent="0.3">
      <c r="F309" s="32"/>
      <c r="G309" s="3"/>
      <c r="H309" s="3"/>
      <c r="I309" s="3"/>
      <c r="J309" s="3"/>
      <c r="K309" s="3"/>
      <c r="L309" s="5"/>
      <c r="M309" s="5"/>
      <c r="N309" s="5"/>
      <c r="O309" s="32"/>
      <c r="P309" s="32"/>
      <c r="Q309" s="32"/>
      <c r="R309" s="32"/>
      <c r="S309" s="32"/>
      <c r="T309" s="32"/>
      <c r="U309" s="32"/>
      <c r="V309" s="32"/>
      <c r="W309" s="32"/>
    </row>
    <row r="310" spans="6:23" x14ac:dyDescent="0.3">
      <c r="F310" s="32"/>
      <c r="G310" s="3"/>
      <c r="H310" s="3"/>
      <c r="I310" s="3"/>
      <c r="J310" s="3"/>
      <c r="K310" s="3"/>
      <c r="L310" s="5"/>
      <c r="M310" s="5"/>
      <c r="N310" s="5"/>
      <c r="O310" s="32"/>
      <c r="P310" s="32"/>
      <c r="Q310" s="32"/>
      <c r="R310" s="32"/>
      <c r="S310" s="32"/>
      <c r="T310" s="32"/>
      <c r="U310" s="32"/>
      <c r="V310" s="32"/>
      <c r="W310" s="32"/>
    </row>
    <row r="311" spans="6:23" x14ac:dyDescent="0.3">
      <c r="F311" s="32"/>
      <c r="G311" s="3"/>
      <c r="H311" s="3"/>
      <c r="I311" s="3"/>
      <c r="J311" s="3"/>
      <c r="K311" s="3"/>
      <c r="L311" s="5"/>
      <c r="M311" s="5"/>
      <c r="N311" s="5"/>
      <c r="O311" s="32"/>
      <c r="P311" s="32"/>
      <c r="Q311" s="32"/>
      <c r="R311" s="32"/>
      <c r="S311" s="32"/>
      <c r="T311" s="32"/>
      <c r="U311" s="32"/>
      <c r="V311" s="32"/>
      <c r="W311" s="32"/>
    </row>
    <row r="312" spans="6:23" x14ac:dyDescent="0.3">
      <c r="F312" s="32"/>
      <c r="G312" s="3"/>
      <c r="H312" s="3"/>
      <c r="I312" s="3"/>
      <c r="J312" s="3"/>
      <c r="K312" s="3"/>
      <c r="L312" s="5"/>
      <c r="M312" s="5"/>
      <c r="N312" s="5"/>
      <c r="O312" s="32"/>
      <c r="P312" s="32"/>
      <c r="Q312" s="32"/>
      <c r="R312" s="32"/>
      <c r="S312" s="32"/>
      <c r="T312" s="32"/>
      <c r="U312" s="32"/>
      <c r="V312" s="32"/>
      <c r="W312" s="32"/>
    </row>
    <row r="313" spans="6:23" x14ac:dyDescent="0.3">
      <c r="F313" s="32"/>
      <c r="G313" s="3"/>
      <c r="H313" s="3"/>
      <c r="I313" s="3"/>
      <c r="J313" s="3"/>
      <c r="K313" s="3"/>
      <c r="L313" s="5"/>
      <c r="M313" s="5"/>
      <c r="N313" s="5"/>
      <c r="O313" s="32"/>
      <c r="P313" s="32"/>
      <c r="Q313" s="32"/>
      <c r="R313" s="32"/>
      <c r="S313" s="32"/>
      <c r="T313" s="32"/>
      <c r="U313" s="32"/>
      <c r="V313" s="32"/>
      <c r="W313" s="32"/>
    </row>
    <row r="314" spans="6:23" x14ac:dyDescent="0.3">
      <c r="F314" s="32"/>
      <c r="G314" s="3"/>
      <c r="H314" s="3"/>
      <c r="I314" s="3"/>
      <c r="J314" s="3"/>
      <c r="K314" s="3"/>
      <c r="L314" s="5"/>
      <c r="M314" s="5"/>
      <c r="N314" s="5"/>
      <c r="O314" s="32"/>
      <c r="P314" s="32"/>
      <c r="Q314" s="32"/>
      <c r="R314" s="32"/>
      <c r="S314" s="32"/>
      <c r="T314" s="32"/>
      <c r="U314" s="32"/>
      <c r="V314" s="32"/>
      <c r="W314" s="32"/>
    </row>
    <row r="315" spans="6:23" x14ac:dyDescent="0.3">
      <c r="F315" s="32"/>
      <c r="G315" s="3"/>
      <c r="H315" s="3"/>
      <c r="I315" s="3"/>
      <c r="J315" s="3"/>
      <c r="K315" s="3"/>
      <c r="L315" s="5"/>
      <c r="M315" s="5"/>
      <c r="N315" s="5"/>
      <c r="O315" s="32"/>
      <c r="P315" s="32"/>
      <c r="Q315" s="32"/>
      <c r="R315" s="32"/>
      <c r="S315" s="32"/>
      <c r="T315" s="32"/>
      <c r="U315" s="32"/>
      <c r="V315" s="32"/>
      <c r="W315" s="32"/>
    </row>
    <row r="316" spans="6:23" x14ac:dyDescent="0.3">
      <c r="F316" s="32"/>
      <c r="G316" s="3"/>
      <c r="H316" s="3"/>
      <c r="I316" s="3"/>
      <c r="J316" s="3"/>
      <c r="K316" s="3"/>
      <c r="L316" s="5"/>
      <c r="M316" s="5"/>
      <c r="N316" s="5"/>
      <c r="O316" s="32"/>
      <c r="P316" s="32"/>
      <c r="Q316" s="32"/>
      <c r="R316" s="32"/>
      <c r="S316" s="32"/>
      <c r="T316" s="32"/>
      <c r="U316" s="32"/>
      <c r="V316" s="32"/>
      <c r="W316" s="32"/>
    </row>
    <row r="317" spans="6:23" x14ac:dyDescent="0.3">
      <c r="F317" s="32"/>
      <c r="G317" s="3"/>
      <c r="H317" s="3"/>
      <c r="I317" s="3"/>
      <c r="J317" s="3"/>
      <c r="K317" s="3"/>
      <c r="L317" s="5"/>
      <c r="M317" s="5"/>
      <c r="N317" s="5"/>
      <c r="O317" s="32"/>
      <c r="P317" s="32"/>
      <c r="Q317" s="32"/>
      <c r="R317" s="32"/>
      <c r="S317" s="32"/>
      <c r="T317" s="32"/>
      <c r="U317" s="32"/>
      <c r="V317" s="32"/>
      <c r="W317" s="32"/>
    </row>
    <row r="318" spans="6:23" x14ac:dyDescent="0.3">
      <c r="F318" s="32"/>
      <c r="G318" s="3"/>
      <c r="H318" s="3"/>
      <c r="I318" s="3"/>
      <c r="J318" s="3"/>
      <c r="K318" s="3"/>
      <c r="L318" s="5"/>
      <c r="M318" s="5"/>
      <c r="N318" s="5"/>
      <c r="O318" s="32"/>
      <c r="P318" s="32"/>
      <c r="Q318" s="32"/>
      <c r="R318" s="32"/>
      <c r="S318" s="32"/>
      <c r="T318" s="32"/>
      <c r="U318" s="32"/>
      <c r="V318" s="32"/>
      <c r="W318" s="32"/>
    </row>
    <row r="319" spans="6:23" x14ac:dyDescent="0.3">
      <c r="F319" s="32"/>
      <c r="G319" s="3"/>
      <c r="H319" s="3"/>
      <c r="I319" s="3"/>
      <c r="J319" s="3"/>
      <c r="K319" s="3"/>
      <c r="L319" s="5"/>
      <c r="M319" s="5"/>
      <c r="N319" s="5"/>
      <c r="O319" s="32"/>
      <c r="P319" s="32"/>
      <c r="Q319" s="32"/>
      <c r="R319" s="32"/>
      <c r="S319" s="32"/>
      <c r="T319" s="32"/>
      <c r="U319" s="32"/>
      <c r="V319" s="32"/>
      <c r="W319" s="32"/>
    </row>
    <row r="320" spans="6:23" x14ac:dyDescent="0.3">
      <c r="F320" s="32"/>
      <c r="G320" s="3"/>
      <c r="H320" s="3"/>
      <c r="I320" s="3"/>
      <c r="J320" s="3"/>
      <c r="K320" s="3"/>
      <c r="L320" s="5"/>
      <c r="M320" s="5"/>
      <c r="N320" s="5"/>
      <c r="O320" s="32"/>
      <c r="P320" s="32"/>
      <c r="Q320" s="32"/>
      <c r="R320" s="32"/>
      <c r="S320" s="32"/>
      <c r="T320" s="32"/>
      <c r="U320" s="32"/>
      <c r="V320" s="32"/>
      <c r="W320" s="32"/>
    </row>
    <row r="321" spans="6:23" x14ac:dyDescent="0.3">
      <c r="F321" s="32"/>
      <c r="G321" s="3"/>
      <c r="H321" s="3"/>
      <c r="I321" s="3"/>
      <c r="J321" s="3"/>
      <c r="K321" s="3"/>
      <c r="L321" s="5"/>
      <c r="M321" s="5"/>
      <c r="N321" s="5"/>
      <c r="O321" s="32"/>
      <c r="P321" s="32"/>
      <c r="Q321" s="32"/>
      <c r="R321" s="32"/>
      <c r="S321" s="32"/>
      <c r="T321" s="32"/>
      <c r="U321" s="32"/>
      <c r="V321" s="32"/>
      <c r="W321" s="32"/>
    </row>
    <row r="322" spans="6:23" x14ac:dyDescent="0.3">
      <c r="F322" s="32"/>
      <c r="G322" s="3"/>
      <c r="H322" s="3"/>
      <c r="I322" s="3"/>
      <c r="J322" s="3"/>
      <c r="K322" s="3"/>
      <c r="L322" s="5"/>
      <c r="M322" s="5"/>
      <c r="N322" s="5"/>
      <c r="O322" s="32"/>
      <c r="P322" s="32"/>
      <c r="Q322" s="32"/>
      <c r="R322" s="32"/>
      <c r="S322" s="32"/>
      <c r="T322" s="32"/>
      <c r="U322" s="32"/>
      <c r="V322" s="32"/>
      <c r="W322" s="32"/>
    </row>
    <row r="323" spans="6:23" x14ac:dyDescent="0.3">
      <c r="F323" s="32"/>
      <c r="G323" s="3"/>
      <c r="H323" s="3"/>
      <c r="I323" s="3"/>
      <c r="J323" s="3"/>
      <c r="K323" s="3"/>
      <c r="L323" s="5"/>
      <c r="M323" s="5"/>
      <c r="N323" s="5"/>
      <c r="O323" s="32"/>
      <c r="P323" s="32"/>
      <c r="Q323" s="32"/>
      <c r="R323" s="32"/>
      <c r="S323" s="32"/>
      <c r="T323" s="32"/>
      <c r="U323" s="32"/>
      <c r="V323" s="32"/>
      <c r="W323" s="32"/>
    </row>
    <row r="324" spans="6:23" x14ac:dyDescent="0.3">
      <c r="G324" s="3"/>
      <c r="H324" s="3"/>
      <c r="I324" s="3"/>
      <c r="J324" s="3"/>
      <c r="K324" s="3"/>
      <c r="L324" s="5"/>
      <c r="M324" s="5"/>
      <c r="N324" s="5"/>
      <c r="O324" s="32"/>
      <c r="Q324" s="32"/>
      <c r="R324" s="32"/>
      <c r="S324" s="32"/>
      <c r="T324" s="32"/>
      <c r="U324" s="32"/>
      <c r="V324" s="32"/>
      <c r="W324" s="32"/>
    </row>
    <row r="325" spans="6:23" x14ac:dyDescent="0.3">
      <c r="F325" s="32"/>
      <c r="G325" s="3"/>
      <c r="H325" s="3"/>
      <c r="I325" s="3"/>
      <c r="J325" s="3"/>
      <c r="K325" s="3"/>
      <c r="L325" s="5"/>
      <c r="M325" s="5"/>
      <c r="N325" s="5"/>
      <c r="O325" s="32"/>
      <c r="P325" s="32"/>
      <c r="Q325" s="32"/>
      <c r="R325" s="32"/>
      <c r="S325" s="32"/>
      <c r="T325" s="32"/>
      <c r="U325" s="32"/>
      <c r="V325" s="32"/>
      <c r="W325" s="32"/>
    </row>
    <row r="326" spans="6:23" x14ac:dyDescent="0.3">
      <c r="F326" s="32"/>
      <c r="G326" s="3"/>
      <c r="H326" s="3"/>
      <c r="I326" s="3"/>
      <c r="J326" s="3"/>
      <c r="K326" s="3"/>
      <c r="L326" s="5"/>
      <c r="M326" s="5"/>
      <c r="N326" s="5"/>
      <c r="O326" s="32"/>
      <c r="P326" s="32"/>
      <c r="Q326" s="32"/>
      <c r="R326" s="32"/>
      <c r="S326" s="32"/>
      <c r="T326" s="32"/>
      <c r="U326" s="32"/>
      <c r="V326" s="32"/>
      <c r="W326" s="32"/>
    </row>
    <row r="327" spans="6:23" x14ac:dyDescent="0.3">
      <c r="F327" s="32"/>
      <c r="G327" s="3"/>
      <c r="H327" s="3"/>
      <c r="I327" s="3"/>
      <c r="J327" s="3"/>
      <c r="K327" s="3"/>
      <c r="L327" s="5"/>
      <c r="M327" s="5"/>
      <c r="N327" s="5"/>
      <c r="O327" s="32"/>
      <c r="P327" s="32"/>
      <c r="Q327" s="32"/>
      <c r="R327" s="32"/>
      <c r="S327" s="32"/>
      <c r="T327" s="32"/>
      <c r="U327" s="32"/>
      <c r="V327" s="32"/>
      <c r="W327" s="32"/>
    </row>
    <row r="328" spans="6:23" x14ac:dyDescent="0.3">
      <c r="F328" s="32"/>
      <c r="G328" s="3"/>
      <c r="H328" s="3"/>
      <c r="I328" s="3"/>
      <c r="J328" s="3"/>
      <c r="K328" s="3"/>
      <c r="L328" s="5"/>
      <c r="M328" s="5"/>
      <c r="N328" s="5"/>
      <c r="O328" s="32"/>
      <c r="P328" s="32"/>
      <c r="Q328" s="32"/>
      <c r="R328" s="32"/>
      <c r="S328" s="32"/>
      <c r="T328" s="32"/>
      <c r="U328" s="32"/>
      <c r="V328" s="32"/>
      <c r="W328" s="32"/>
    </row>
    <row r="329" spans="6:23" x14ac:dyDescent="0.3">
      <c r="F329" s="32"/>
      <c r="G329" s="3"/>
      <c r="H329" s="3"/>
      <c r="I329" s="3"/>
      <c r="J329" s="3"/>
      <c r="K329" s="3"/>
      <c r="L329" s="5"/>
      <c r="M329" s="5"/>
      <c r="N329" s="5"/>
      <c r="O329" s="32"/>
      <c r="P329" s="32"/>
      <c r="Q329" s="32"/>
      <c r="R329" s="32"/>
      <c r="S329" s="32"/>
      <c r="T329" s="32"/>
      <c r="U329" s="32"/>
      <c r="V329" s="32"/>
      <c r="W329" s="32"/>
    </row>
    <row r="330" spans="6:23" x14ac:dyDescent="0.3">
      <c r="F330" s="32"/>
      <c r="G330" s="3"/>
      <c r="H330" s="3"/>
      <c r="I330" s="3"/>
      <c r="J330" s="3"/>
      <c r="K330" s="3"/>
      <c r="L330" s="5"/>
      <c r="M330" s="5"/>
      <c r="N330" s="5"/>
      <c r="O330" s="32"/>
      <c r="P330" s="32"/>
      <c r="Q330" s="32"/>
      <c r="R330" s="32"/>
      <c r="S330" s="32"/>
      <c r="T330" s="32"/>
      <c r="U330" s="32"/>
      <c r="V330" s="32"/>
      <c r="W330" s="32"/>
    </row>
    <row r="331" spans="6:23" x14ac:dyDescent="0.3">
      <c r="F331" s="32"/>
      <c r="G331" s="3"/>
      <c r="H331" s="3"/>
      <c r="I331" s="3"/>
      <c r="J331" s="3"/>
      <c r="K331" s="3"/>
      <c r="L331" s="5"/>
      <c r="M331" s="5"/>
      <c r="N331" s="5"/>
      <c r="O331" s="32"/>
      <c r="P331" s="32"/>
      <c r="Q331" s="32"/>
      <c r="R331" s="32"/>
      <c r="S331" s="32"/>
      <c r="T331" s="32"/>
      <c r="U331" s="32"/>
      <c r="V331" s="32"/>
      <c r="W331" s="32"/>
    </row>
    <row r="332" spans="6:23" x14ac:dyDescent="0.3">
      <c r="F332" s="32"/>
      <c r="G332" s="3"/>
      <c r="H332" s="3"/>
      <c r="I332" s="3"/>
      <c r="J332" s="3"/>
      <c r="K332" s="3"/>
      <c r="L332" s="5"/>
      <c r="M332" s="5"/>
      <c r="N332" s="5"/>
      <c r="O332" s="32"/>
      <c r="P332" s="32"/>
      <c r="Q332" s="32"/>
      <c r="R332" s="32"/>
      <c r="S332" s="32"/>
      <c r="T332" s="32"/>
      <c r="U332" s="32"/>
      <c r="V332" s="32"/>
      <c r="W332" s="32"/>
    </row>
    <row r="333" spans="6:23" x14ac:dyDescent="0.3">
      <c r="F333" s="32"/>
      <c r="G333" s="3"/>
      <c r="H333" s="3"/>
      <c r="I333" s="3"/>
      <c r="J333" s="3"/>
      <c r="K333" s="3"/>
      <c r="L333" s="5"/>
      <c r="M333" s="5"/>
      <c r="N333" s="5"/>
      <c r="O333" s="32"/>
      <c r="P333" s="32"/>
      <c r="Q333" s="32"/>
      <c r="R333" s="32"/>
      <c r="S333" s="32"/>
      <c r="T333" s="32"/>
      <c r="U333" s="32"/>
      <c r="V333" s="32"/>
      <c r="W333" s="32"/>
    </row>
    <row r="334" spans="6:23" x14ac:dyDescent="0.3">
      <c r="F334" s="32"/>
      <c r="G334" s="3"/>
      <c r="H334" s="3"/>
      <c r="I334" s="3"/>
      <c r="J334" s="3"/>
      <c r="K334" s="3"/>
      <c r="L334" s="5"/>
      <c r="M334" s="5"/>
      <c r="N334" s="5"/>
      <c r="O334" s="32"/>
      <c r="P334" s="32"/>
      <c r="Q334" s="32"/>
      <c r="R334" s="32"/>
      <c r="S334" s="32"/>
      <c r="T334" s="32"/>
      <c r="U334" s="32"/>
      <c r="V334" s="32"/>
      <c r="W334" s="32"/>
    </row>
    <row r="335" spans="6:23" x14ac:dyDescent="0.3">
      <c r="F335" s="32"/>
      <c r="G335" s="3"/>
      <c r="H335" s="3"/>
      <c r="I335" s="3"/>
      <c r="J335" s="3"/>
      <c r="K335" s="3"/>
      <c r="L335" s="5"/>
      <c r="M335" s="5"/>
      <c r="N335" s="5"/>
      <c r="O335" s="32"/>
      <c r="P335" s="32"/>
      <c r="Q335" s="32"/>
      <c r="R335" s="32"/>
      <c r="S335" s="32"/>
      <c r="T335" s="32"/>
      <c r="U335" s="32"/>
      <c r="V335" s="32"/>
      <c r="W335" s="32"/>
    </row>
    <row r="336" spans="6:23" x14ac:dyDescent="0.3">
      <c r="F336" s="32"/>
      <c r="G336" s="3"/>
      <c r="H336" s="3"/>
      <c r="I336" s="3"/>
      <c r="J336" s="3"/>
      <c r="K336" s="3"/>
      <c r="L336" s="5"/>
      <c r="M336" s="5"/>
      <c r="N336" s="5"/>
      <c r="O336" s="32"/>
      <c r="P336" s="32"/>
      <c r="Q336" s="32"/>
      <c r="R336" s="32"/>
      <c r="S336" s="32"/>
      <c r="T336" s="32"/>
      <c r="U336" s="32"/>
      <c r="V336" s="32"/>
      <c r="W336" s="32"/>
    </row>
    <row r="337" spans="6:23" x14ac:dyDescent="0.3">
      <c r="F337" s="32"/>
      <c r="G337" s="3"/>
      <c r="H337" s="3"/>
      <c r="I337" s="3"/>
      <c r="J337" s="3"/>
      <c r="K337" s="3"/>
      <c r="L337" s="5"/>
      <c r="M337" s="5"/>
      <c r="N337" s="5"/>
      <c r="O337" s="32"/>
      <c r="P337" s="32"/>
      <c r="Q337" s="32"/>
      <c r="R337" s="32"/>
      <c r="S337" s="32"/>
      <c r="T337" s="32"/>
      <c r="U337" s="32"/>
      <c r="V337" s="32"/>
      <c r="W337" s="32"/>
    </row>
    <row r="338" spans="6:23" x14ac:dyDescent="0.3">
      <c r="F338" s="32"/>
      <c r="G338" s="3"/>
      <c r="H338" s="3"/>
      <c r="I338" s="3"/>
      <c r="J338" s="3"/>
      <c r="K338" s="3"/>
      <c r="L338" s="5"/>
      <c r="M338" s="5"/>
      <c r="N338" s="5"/>
      <c r="O338" s="32"/>
      <c r="P338" s="32"/>
      <c r="Q338" s="32"/>
      <c r="R338" s="32"/>
      <c r="S338" s="32"/>
      <c r="T338" s="32"/>
      <c r="U338" s="32"/>
      <c r="V338" s="32"/>
      <c r="W338" s="32"/>
    </row>
    <row r="339" spans="6:23" x14ac:dyDescent="0.3">
      <c r="F339" s="32"/>
      <c r="G339" s="3"/>
      <c r="H339" s="3"/>
      <c r="I339" s="3"/>
      <c r="J339" s="3"/>
      <c r="K339" s="3"/>
      <c r="L339" s="5"/>
      <c r="M339" s="5"/>
      <c r="N339" s="5"/>
      <c r="O339" s="32"/>
      <c r="P339" s="32"/>
      <c r="Q339" s="32"/>
      <c r="R339" s="32"/>
      <c r="S339" s="32"/>
      <c r="T339" s="32"/>
      <c r="U339" s="32"/>
      <c r="V339" s="32"/>
      <c r="W339" s="32"/>
    </row>
    <row r="340" spans="6:23" x14ac:dyDescent="0.3">
      <c r="F340" s="32"/>
      <c r="G340" s="3"/>
      <c r="H340" s="3"/>
      <c r="I340" s="3"/>
      <c r="J340" s="3"/>
      <c r="K340" s="3"/>
      <c r="L340" s="5"/>
      <c r="M340" s="5"/>
      <c r="N340" s="5"/>
      <c r="O340" s="32"/>
      <c r="P340" s="32"/>
      <c r="Q340" s="32"/>
      <c r="R340" s="32"/>
      <c r="S340" s="32"/>
      <c r="T340" s="32"/>
      <c r="U340" s="32"/>
      <c r="V340" s="32"/>
      <c r="W340" s="32"/>
    </row>
    <row r="341" spans="6:23" x14ac:dyDescent="0.3">
      <c r="F341" s="32"/>
      <c r="G341" s="3"/>
      <c r="H341" s="3"/>
      <c r="I341" s="3"/>
      <c r="J341" s="3"/>
      <c r="K341" s="3"/>
      <c r="L341" s="5"/>
      <c r="M341" s="5"/>
      <c r="N341" s="5"/>
      <c r="O341" s="32"/>
      <c r="P341" s="32"/>
      <c r="Q341" s="32"/>
      <c r="R341" s="32"/>
      <c r="S341" s="32"/>
      <c r="T341" s="32"/>
      <c r="U341" s="32"/>
      <c r="V341" s="32"/>
      <c r="W341" s="32"/>
    </row>
    <row r="342" spans="6:23" x14ac:dyDescent="0.3">
      <c r="F342" s="32"/>
      <c r="G342" s="3"/>
      <c r="H342" s="3"/>
      <c r="I342" s="3"/>
      <c r="J342" s="3"/>
      <c r="K342" s="3"/>
      <c r="L342" s="5"/>
      <c r="M342" s="5"/>
      <c r="N342" s="5"/>
      <c r="O342" s="32"/>
      <c r="P342" s="32"/>
      <c r="Q342" s="32"/>
      <c r="R342" s="32"/>
      <c r="S342" s="32"/>
      <c r="T342" s="32"/>
      <c r="U342" s="32"/>
      <c r="V342" s="32"/>
      <c r="W342" s="32"/>
    </row>
    <row r="343" spans="6:23" x14ac:dyDescent="0.3">
      <c r="F343" s="32"/>
      <c r="G343" s="3"/>
      <c r="H343" s="3"/>
      <c r="I343" s="3"/>
      <c r="J343" s="3"/>
      <c r="K343" s="3"/>
      <c r="L343" s="5"/>
      <c r="M343" s="5"/>
      <c r="N343" s="5"/>
      <c r="O343" s="32"/>
      <c r="P343" s="32"/>
      <c r="Q343" s="32"/>
      <c r="R343" s="32"/>
      <c r="S343" s="32"/>
      <c r="T343" s="32"/>
      <c r="U343" s="32"/>
      <c r="V343" s="32"/>
      <c r="W343" s="32"/>
    </row>
    <row r="344" spans="6:23" x14ac:dyDescent="0.3">
      <c r="F344" s="32"/>
      <c r="G344" s="3"/>
      <c r="H344" s="3"/>
      <c r="I344" s="3"/>
      <c r="J344" s="3"/>
      <c r="K344" s="3"/>
      <c r="L344" s="5"/>
      <c r="M344" s="5"/>
      <c r="N344" s="5"/>
      <c r="O344" s="32"/>
      <c r="P344" s="32"/>
      <c r="Q344" s="32"/>
      <c r="R344" s="32"/>
      <c r="S344" s="32"/>
      <c r="T344" s="32"/>
      <c r="U344" s="32"/>
      <c r="V344" s="32"/>
      <c r="W344" s="32"/>
    </row>
    <row r="345" spans="6:23" x14ac:dyDescent="0.3">
      <c r="F345" s="32"/>
      <c r="G345" s="3"/>
      <c r="H345" s="3"/>
      <c r="I345" s="3"/>
      <c r="J345" s="3"/>
      <c r="K345" s="3"/>
      <c r="L345" s="5"/>
      <c r="M345" s="5"/>
      <c r="N345" s="5"/>
      <c r="O345" s="32"/>
      <c r="P345" s="32"/>
      <c r="Q345" s="32"/>
      <c r="R345" s="32"/>
      <c r="S345" s="32"/>
      <c r="T345" s="32"/>
      <c r="U345" s="32"/>
      <c r="V345" s="32"/>
      <c r="W345" s="32"/>
    </row>
    <row r="346" spans="6:23" x14ac:dyDescent="0.3">
      <c r="F346" s="32"/>
      <c r="G346" s="3"/>
      <c r="H346" s="3"/>
      <c r="I346" s="3"/>
      <c r="J346" s="3"/>
      <c r="K346" s="3"/>
      <c r="L346" s="5"/>
      <c r="M346" s="5"/>
      <c r="N346" s="5"/>
      <c r="O346" s="32"/>
      <c r="P346" s="32"/>
      <c r="Q346" s="32"/>
      <c r="R346" s="32"/>
      <c r="S346" s="32"/>
      <c r="T346" s="32"/>
      <c r="U346" s="32"/>
      <c r="V346" s="32"/>
      <c r="W346" s="32"/>
    </row>
    <row r="347" spans="6:23" x14ac:dyDescent="0.3">
      <c r="F347" s="32"/>
      <c r="G347" s="3"/>
      <c r="H347" s="3"/>
      <c r="I347" s="3"/>
      <c r="J347" s="3"/>
      <c r="K347" s="3"/>
      <c r="L347" s="5"/>
      <c r="M347" s="5"/>
      <c r="N347" s="5"/>
      <c r="O347" s="32"/>
      <c r="P347" s="32"/>
      <c r="Q347" s="32"/>
      <c r="R347" s="32"/>
      <c r="S347" s="32"/>
      <c r="T347" s="32"/>
      <c r="U347" s="32"/>
      <c r="V347" s="32"/>
      <c r="W347" s="32"/>
    </row>
    <row r="348" spans="6:23" x14ac:dyDescent="0.3">
      <c r="F348" s="32"/>
      <c r="G348" s="3"/>
      <c r="H348" s="3"/>
      <c r="I348" s="3"/>
      <c r="J348" s="3"/>
      <c r="K348" s="3"/>
      <c r="L348" s="5"/>
      <c r="M348" s="5"/>
      <c r="N348" s="5"/>
      <c r="O348" s="32"/>
      <c r="P348" s="32"/>
      <c r="Q348" s="32"/>
      <c r="R348" s="32"/>
      <c r="S348" s="32"/>
      <c r="T348" s="32"/>
      <c r="U348" s="32"/>
      <c r="V348" s="32"/>
      <c r="W348" s="32"/>
    </row>
    <row r="349" spans="6:23" x14ac:dyDescent="0.3">
      <c r="F349" s="32"/>
      <c r="G349" s="3"/>
      <c r="H349" s="3"/>
      <c r="I349" s="3"/>
      <c r="J349" s="3"/>
      <c r="K349" s="3"/>
      <c r="L349" s="5"/>
      <c r="M349" s="5"/>
      <c r="N349" s="5"/>
      <c r="O349" s="32"/>
      <c r="P349" s="32"/>
      <c r="Q349" s="32"/>
      <c r="R349" s="32"/>
      <c r="S349" s="32"/>
      <c r="T349" s="32"/>
      <c r="U349" s="32"/>
      <c r="V349" s="32"/>
      <c r="W349" s="32"/>
    </row>
    <row r="350" spans="6:23" x14ac:dyDescent="0.3">
      <c r="F350" s="32"/>
      <c r="G350" s="3"/>
      <c r="H350" s="3"/>
      <c r="I350" s="3"/>
      <c r="J350" s="3"/>
      <c r="K350" s="3"/>
      <c r="L350" s="5"/>
      <c r="M350" s="5"/>
      <c r="N350" s="5"/>
      <c r="O350" s="32"/>
      <c r="P350" s="32"/>
      <c r="Q350" s="32"/>
      <c r="R350" s="32"/>
      <c r="S350" s="32"/>
      <c r="T350" s="32"/>
      <c r="U350" s="32"/>
      <c r="V350" s="32"/>
      <c r="W350" s="32"/>
    </row>
    <row r="351" spans="6:23" x14ac:dyDescent="0.3">
      <c r="F351" s="32"/>
      <c r="G351" s="3"/>
      <c r="H351" s="3"/>
      <c r="I351" s="3"/>
      <c r="J351" s="3"/>
      <c r="K351" s="3"/>
      <c r="L351" s="5"/>
      <c r="M351" s="5"/>
      <c r="N351" s="5"/>
      <c r="O351" s="32"/>
      <c r="P351" s="32"/>
      <c r="Q351" s="32"/>
      <c r="R351" s="32"/>
      <c r="S351" s="32"/>
      <c r="T351" s="32"/>
      <c r="U351" s="32"/>
      <c r="V351" s="32"/>
      <c r="W351" s="32"/>
    </row>
    <row r="352" spans="6:23" x14ac:dyDescent="0.3">
      <c r="F352" s="32"/>
      <c r="G352" s="3"/>
      <c r="H352" s="3"/>
      <c r="I352" s="3"/>
      <c r="J352" s="3"/>
      <c r="K352" s="3"/>
      <c r="L352" s="5"/>
      <c r="M352" s="5"/>
      <c r="N352" s="5"/>
      <c r="O352" s="32"/>
      <c r="P352" s="32"/>
      <c r="Q352" s="32"/>
      <c r="R352" s="32"/>
      <c r="S352" s="32"/>
      <c r="T352" s="32"/>
      <c r="U352" s="32"/>
      <c r="V352" s="32"/>
      <c r="W352" s="32"/>
    </row>
    <row r="353" spans="6:23" x14ac:dyDescent="0.3">
      <c r="F353" s="32"/>
      <c r="G353" s="3"/>
      <c r="H353" s="3"/>
      <c r="I353" s="3"/>
      <c r="J353" s="3"/>
      <c r="K353" s="3"/>
      <c r="L353" s="5"/>
      <c r="M353" s="5"/>
      <c r="N353" s="5"/>
      <c r="O353" s="32"/>
      <c r="P353" s="32"/>
      <c r="Q353" s="32"/>
      <c r="R353" s="32"/>
      <c r="S353" s="32"/>
      <c r="T353" s="32"/>
      <c r="U353" s="32"/>
      <c r="V353" s="32"/>
      <c r="W353" s="32"/>
    </row>
    <row r="354" spans="6:23" x14ac:dyDescent="0.3">
      <c r="F354" s="32"/>
      <c r="G354" s="3"/>
      <c r="H354" s="3"/>
      <c r="I354" s="3"/>
      <c r="J354" s="3"/>
      <c r="K354" s="3"/>
      <c r="L354" s="5"/>
      <c r="M354" s="5"/>
      <c r="N354" s="5"/>
      <c r="O354" s="32"/>
      <c r="P354" s="32"/>
      <c r="Q354" s="32"/>
      <c r="R354" s="32"/>
      <c r="S354" s="32"/>
      <c r="T354" s="32"/>
      <c r="U354" s="32"/>
      <c r="V354" s="32"/>
      <c r="W354" s="32"/>
    </row>
    <row r="355" spans="6:23" x14ac:dyDescent="0.3">
      <c r="F355" s="32"/>
      <c r="G355" s="3"/>
      <c r="H355" s="3"/>
      <c r="I355" s="3"/>
      <c r="J355" s="3"/>
      <c r="K355" s="3"/>
      <c r="L355" s="5"/>
      <c r="M355" s="5"/>
      <c r="N355" s="5"/>
      <c r="O355" s="32"/>
      <c r="P355" s="32"/>
      <c r="Q355" s="32"/>
      <c r="R355" s="32"/>
      <c r="S355" s="32"/>
      <c r="T355" s="32"/>
      <c r="U355" s="32"/>
      <c r="V355" s="32"/>
      <c r="W355" s="32"/>
    </row>
    <row r="356" spans="6:23" x14ac:dyDescent="0.3">
      <c r="F356" s="32"/>
      <c r="G356" s="3"/>
      <c r="H356" s="3"/>
      <c r="I356" s="3"/>
      <c r="J356" s="3"/>
      <c r="K356" s="3"/>
      <c r="L356" s="5"/>
      <c r="M356" s="5"/>
      <c r="N356" s="5"/>
      <c r="O356" s="32"/>
      <c r="P356" s="32"/>
      <c r="Q356" s="32"/>
      <c r="R356" s="32"/>
      <c r="S356" s="32"/>
      <c r="T356" s="32"/>
      <c r="U356" s="32"/>
      <c r="V356" s="32"/>
      <c r="W356" s="32"/>
    </row>
    <row r="357" spans="6:23" x14ac:dyDescent="0.3">
      <c r="F357" s="32"/>
      <c r="G357" s="3"/>
      <c r="H357" s="3"/>
      <c r="I357" s="3"/>
      <c r="J357" s="3"/>
      <c r="K357" s="3"/>
      <c r="L357" s="5"/>
      <c r="M357" s="5"/>
      <c r="N357" s="5"/>
      <c r="O357" s="32"/>
      <c r="P357" s="32"/>
      <c r="Q357" s="32"/>
      <c r="R357" s="32"/>
      <c r="S357" s="32"/>
      <c r="T357" s="32"/>
      <c r="U357" s="32"/>
      <c r="V357" s="32"/>
      <c r="W357" s="32"/>
    </row>
    <row r="358" spans="6:23" x14ac:dyDescent="0.3">
      <c r="F358" s="32"/>
      <c r="G358" s="3"/>
      <c r="H358" s="3"/>
      <c r="I358" s="3"/>
      <c r="J358" s="3"/>
      <c r="K358" s="3"/>
      <c r="L358" s="5"/>
      <c r="M358" s="5"/>
      <c r="N358" s="5"/>
      <c r="O358" s="32"/>
      <c r="P358" s="32"/>
      <c r="Q358" s="32"/>
      <c r="R358" s="32"/>
      <c r="S358" s="32"/>
      <c r="T358" s="32"/>
      <c r="U358" s="32"/>
      <c r="V358" s="32"/>
      <c r="W358" s="32"/>
    </row>
    <row r="359" spans="6:23" x14ac:dyDescent="0.3">
      <c r="F359" s="32"/>
      <c r="G359" s="3"/>
      <c r="H359" s="3"/>
      <c r="I359" s="3"/>
      <c r="J359" s="3"/>
      <c r="K359" s="3"/>
      <c r="L359" s="5"/>
      <c r="M359" s="5"/>
      <c r="N359" s="5"/>
      <c r="O359" s="32"/>
      <c r="P359" s="32"/>
      <c r="Q359" s="32"/>
      <c r="R359" s="32"/>
      <c r="S359" s="32"/>
      <c r="T359" s="32"/>
      <c r="U359" s="32"/>
      <c r="V359" s="32"/>
      <c r="W359" s="32"/>
    </row>
    <row r="360" spans="6:23" x14ac:dyDescent="0.3">
      <c r="F360" s="32"/>
      <c r="G360" s="3"/>
      <c r="H360" s="3"/>
      <c r="I360" s="3"/>
      <c r="J360" s="3"/>
      <c r="K360" s="3"/>
      <c r="L360" s="5"/>
      <c r="M360" s="5"/>
      <c r="N360" s="5"/>
      <c r="O360" s="32"/>
      <c r="P360" s="32"/>
      <c r="Q360" s="32"/>
      <c r="R360" s="32"/>
      <c r="S360" s="32"/>
      <c r="T360" s="32"/>
      <c r="U360" s="32"/>
      <c r="V360" s="32"/>
      <c r="W360" s="32"/>
    </row>
    <row r="361" spans="6:23" x14ac:dyDescent="0.3">
      <c r="F361" s="32"/>
      <c r="G361" s="3"/>
      <c r="H361" s="3"/>
      <c r="I361" s="3"/>
      <c r="J361" s="3"/>
      <c r="K361" s="3"/>
      <c r="L361" s="5"/>
      <c r="M361" s="5"/>
      <c r="N361" s="5"/>
      <c r="O361" s="32"/>
      <c r="P361" s="32"/>
      <c r="Q361" s="32"/>
      <c r="R361" s="32"/>
      <c r="S361" s="32"/>
      <c r="T361" s="32"/>
      <c r="U361" s="32"/>
      <c r="V361" s="32"/>
      <c r="W361" s="32"/>
    </row>
    <row r="362" spans="6:23" x14ac:dyDescent="0.3">
      <c r="F362" s="32"/>
      <c r="G362" s="3"/>
      <c r="H362" s="3"/>
      <c r="I362" s="3"/>
      <c r="J362" s="3"/>
      <c r="K362" s="3"/>
      <c r="L362" s="5"/>
      <c r="M362" s="5"/>
      <c r="N362" s="5"/>
      <c r="O362" s="32"/>
      <c r="P362" s="32"/>
      <c r="Q362" s="32"/>
      <c r="R362" s="32"/>
      <c r="S362" s="32"/>
      <c r="T362" s="32"/>
      <c r="U362" s="32"/>
      <c r="V362" s="32"/>
      <c r="W362" s="32"/>
    </row>
    <row r="363" spans="6:23" x14ac:dyDescent="0.3">
      <c r="F363" s="32"/>
      <c r="G363" s="3"/>
      <c r="H363" s="3"/>
      <c r="I363" s="3"/>
      <c r="J363" s="3"/>
      <c r="K363" s="3"/>
      <c r="L363" s="5"/>
      <c r="M363" s="5"/>
      <c r="N363" s="5"/>
      <c r="O363" s="32"/>
      <c r="P363" s="32"/>
      <c r="Q363" s="32"/>
      <c r="R363" s="32"/>
      <c r="S363" s="32"/>
      <c r="T363" s="32"/>
      <c r="U363" s="32"/>
      <c r="V363" s="32"/>
      <c r="W363" s="32"/>
    </row>
    <row r="364" spans="6:23" x14ac:dyDescent="0.3">
      <c r="F364" s="32"/>
      <c r="G364" s="3"/>
      <c r="H364" s="3"/>
      <c r="I364" s="3"/>
      <c r="J364" s="3"/>
      <c r="K364" s="3"/>
      <c r="L364" s="5"/>
      <c r="M364" s="5"/>
      <c r="N364" s="5"/>
      <c r="O364" s="32"/>
      <c r="P364" s="32"/>
      <c r="Q364" s="32"/>
      <c r="R364" s="32"/>
      <c r="S364" s="32"/>
      <c r="T364" s="32"/>
      <c r="U364" s="32"/>
      <c r="V364" s="32"/>
      <c r="W364" s="32"/>
    </row>
    <row r="365" spans="6:23" x14ac:dyDescent="0.3">
      <c r="F365" s="32"/>
      <c r="G365" s="3"/>
      <c r="H365" s="3"/>
      <c r="I365" s="3"/>
      <c r="J365" s="3"/>
      <c r="K365" s="3"/>
      <c r="L365" s="5"/>
      <c r="M365" s="5"/>
      <c r="N365" s="5"/>
      <c r="O365" s="32"/>
      <c r="P365" s="32"/>
      <c r="Q365" s="32"/>
      <c r="R365" s="32"/>
      <c r="S365" s="32"/>
      <c r="T365" s="32"/>
      <c r="U365" s="32"/>
      <c r="V365" s="32"/>
      <c r="W365" s="32"/>
    </row>
    <row r="366" spans="6:23" x14ac:dyDescent="0.3">
      <c r="G366" s="3"/>
      <c r="H366" s="3"/>
      <c r="I366" s="3"/>
      <c r="J366" s="3"/>
      <c r="K366" s="3"/>
    </row>
  </sheetData>
  <mergeCells count="2">
    <mergeCell ref="N5:O6"/>
    <mergeCell ref="N13:O17"/>
  </mergeCells>
  <pageMargins left="0.7" right="0.7" top="0.75" bottom="0.75" header="0.3" footer="0.3"/>
  <pageSetup orientation="portrait" r:id="rId1"/>
  <headerFooter>
    <oddFooter>&amp;C&amp;1#&amp;"Arial"&amp;6&amp;K626469Internal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34A1C-48BA-4AD4-8713-F4A471B76841}">
  <dimension ref="A1:X155"/>
  <sheetViews>
    <sheetView tabSelected="1" workbookViewId="0">
      <selection activeCell="C21" sqref="C21"/>
    </sheetView>
  </sheetViews>
  <sheetFormatPr defaultRowHeight="14" x14ac:dyDescent="0.3"/>
  <cols>
    <col min="2" max="2" width="30.58203125" customWidth="1"/>
    <col min="7" max="7" width="9" style="47"/>
    <col min="9" max="9" width="15" customWidth="1"/>
    <col min="10" max="10" width="10.5" bestFit="1" customWidth="1"/>
    <col min="13" max="13" width="9" style="47"/>
    <col min="21" max="21" width="9" style="47"/>
  </cols>
  <sheetData>
    <row r="1" spans="1:24" x14ac:dyDescent="0.3">
      <c r="A1" t="s">
        <v>50</v>
      </c>
      <c r="N1" s="48" t="s">
        <v>57</v>
      </c>
      <c r="O1" s="48"/>
      <c r="P1" s="48"/>
      <c r="Q1" s="48"/>
      <c r="R1" s="48"/>
      <c r="S1" s="48"/>
    </row>
    <row r="2" spans="1:24" x14ac:dyDescent="0.3">
      <c r="A2" t="s">
        <v>51</v>
      </c>
      <c r="I2" t="s">
        <v>52</v>
      </c>
      <c r="N2" s="48"/>
      <c r="O2" s="48"/>
      <c r="P2" s="48"/>
      <c r="Q2" s="48"/>
      <c r="R2" s="48"/>
      <c r="S2" s="48"/>
      <c r="W2" t="s">
        <v>59</v>
      </c>
      <c r="X2" t="s">
        <v>40</v>
      </c>
    </row>
    <row r="3" spans="1:24" x14ac:dyDescent="0.3">
      <c r="J3" t="s">
        <v>53</v>
      </c>
      <c r="K3" t="s">
        <v>54</v>
      </c>
      <c r="N3" s="48"/>
      <c r="O3" s="48"/>
      <c r="P3" s="48"/>
      <c r="Q3" s="48"/>
      <c r="R3" s="48"/>
      <c r="S3" s="48"/>
      <c r="W3">
        <v>1871</v>
      </c>
      <c r="X3">
        <v>31484700</v>
      </c>
    </row>
    <row r="4" spans="1:24" x14ac:dyDescent="0.3">
      <c r="A4">
        <v>1948</v>
      </c>
      <c r="B4" s="46">
        <v>381461</v>
      </c>
      <c r="I4">
        <v>2014</v>
      </c>
      <c r="J4">
        <v>10.7</v>
      </c>
      <c r="K4">
        <v>58.1</v>
      </c>
      <c r="W4">
        <v>1872</v>
      </c>
      <c r="X4">
        <v>31874200</v>
      </c>
    </row>
    <row r="5" spans="1:24" x14ac:dyDescent="0.3">
      <c r="A5">
        <v>1949</v>
      </c>
      <c r="B5" s="46">
        <v>394097</v>
      </c>
      <c r="I5">
        <v>2015</v>
      </c>
      <c r="J5">
        <v>14.2</v>
      </c>
      <c r="K5">
        <v>50.8</v>
      </c>
      <c r="O5" t="s">
        <v>55</v>
      </c>
      <c r="P5" t="s">
        <v>56</v>
      </c>
      <c r="Q5">
        <v>1884</v>
      </c>
      <c r="R5">
        <v>7.77</v>
      </c>
      <c r="W5">
        <v>1873</v>
      </c>
      <c r="X5">
        <v>32177600</v>
      </c>
    </row>
    <row r="6" spans="1:24" x14ac:dyDescent="0.3">
      <c r="A6">
        <v>1950</v>
      </c>
      <c r="B6" s="46">
        <v>407268</v>
      </c>
      <c r="I6">
        <v>2016</v>
      </c>
      <c r="J6">
        <v>14.5</v>
      </c>
      <c r="K6">
        <v>49.9</v>
      </c>
      <c r="O6" t="s">
        <v>55</v>
      </c>
      <c r="P6" t="s">
        <v>56</v>
      </c>
      <c r="Q6">
        <v>1885</v>
      </c>
      <c r="R6">
        <v>7.77</v>
      </c>
      <c r="W6">
        <v>1874</v>
      </c>
      <c r="X6">
        <v>32501500</v>
      </c>
    </row>
    <row r="7" spans="1:24" x14ac:dyDescent="0.3">
      <c r="A7">
        <v>1951</v>
      </c>
      <c r="B7" s="46">
        <v>422401</v>
      </c>
      <c r="I7">
        <v>2017</v>
      </c>
      <c r="J7">
        <v>20.3</v>
      </c>
      <c r="K7">
        <v>44.7</v>
      </c>
      <c r="O7" t="s">
        <v>55</v>
      </c>
      <c r="P7" t="s">
        <v>56</v>
      </c>
      <c r="Q7">
        <v>1886</v>
      </c>
      <c r="R7">
        <v>7.78</v>
      </c>
      <c r="W7">
        <v>1875</v>
      </c>
      <c r="X7">
        <v>32838800</v>
      </c>
    </row>
    <row r="8" spans="1:24" x14ac:dyDescent="0.3">
      <c r="A8">
        <v>1952</v>
      </c>
      <c r="B8" s="46">
        <v>428734</v>
      </c>
      <c r="I8">
        <v>2018</v>
      </c>
      <c r="J8">
        <v>27.6</v>
      </c>
      <c r="K8">
        <v>42.4</v>
      </c>
      <c r="O8" t="s">
        <v>55</v>
      </c>
      <c r="P8" t="s">
        <v>56</v>
      </c>
      <c r="Q8">
        <v>1887</v>
      </c>
      <c r="R8">
        <v>7.79</v>
      </c>
      <c r="W8">
        <v>1876</v>
      </c>
      <c r="X8">
        <v>33200000</v>
      </c>
    </row>
    <row r="9" spans="1:24" x14ac:dyDescent="0.3">
      <c r="A9">
        <v>1953</v>
      </c>
      <c r="B9" s="46">
        <v>452548</v>
      </c>
      <c r="I9">
        <v>2019</v>
      </c>
      <c r="J9">
        <v>31.5</v>
      </c>
      <c r="K9">
        <v>40.1</v>
      </c>
      <c r="O9" t="s">
        <v>55</v>
      </c>
      <c r="P9" t="s">
        <v>56</v>
      </c>
      <c r="Q9">
        <v>1888</v>
      </c>
      <c r="R9">
        <v>7.81</v>
      </c>
      <c r="W9">
        <v>1877</v>
      </c>
      <c r="X9">
        <v>33575900</v>
      </c>
    </row>
    <row r="10" spans="1:24" x14ac:dyDescent="0.3">
      <c r="A10">
        <v>1954</v>
      </c>
      <c r="B10" s="46">
        <v>472254</v>
      </c>
      <c r="I10">
        <v>2020</v>
      </c>
      <c r="J10">
        <v>37.5</v>
      </c>
      <c r="K10">
        <v>35.1</v>
      </c>
      <c r="O10" t="s">
        <v>55</v>
      </c>
      <c r="P10" t="s">
        <v>56</v>
      </c>
      <c r="Q10">
        <v>1889</v>
      </c>
      <c r="R10">
        <v>7.84</v>
      </c>
      <c r="W10">
        <v>1878</v>
      </c>
      <c r="X10">
        <v>33943800</v>
      </c>
    </row>
    <row r="11" spans="1:24" x14ac:dyDescent="0.3">
      <c r="A11">
        <v>1955</v>
      </c>
      <c r="B11" s="46">
        <v>491243</v>
      </c>
      <c r="I11">
        <v>2021</v>
      </c>
      <c r="J11">
        <v>33.700000000000003</v>
      </c>
      <c r="K11">
        <v>38.6</v>
      </c>
      <c r="O11" t="s">
        <v>55</v>
      </c>
      <c r="P11" t="s">
        <v>56</v>
      </c>
      <c r="Q11">
        <v>1890</v>
      </c>
      <c r="R11">
        <v>7.87</v>
      </c>
      <c r="W11">
        <v>1879</v>
      </c>
      <c r="X11">
        <v>34304000</v>
      </c>
    </row>
    <row r="12" spans="1:24" x14ac:dyDescent="0.3">
      <c r="A12">
        <v>1956</v>
      </c>
      <c r="B12" s="46">
        <v>499555</v>
      </c>
      <c r="I12">
        <v>2022</v>
      </c>
      <c r="J12">
        <v>37.5</v>
      </c>
      <c r="K12">
        <v>39.700000000000003</v>
      </c>
      <c r="O12" t="s">
        <v>55</v>
      </c>
      <c r="P12" t="s">
        <v>56</v>
      </c>
      <c r="Q12">
        <v>1891</v>
      </c>
      <c r="R12">
        <v>7.89</v>
      </c>
      <c r="W12">
        <v>1880</v>
      </c>
      <c r="X12">
        <v>34622900</v>
      </c>
    </row>
    <row r="13" spans="1:24" x14ac:dyDescent="0.3">
      <c r="A13">
        <v>1957</v>
      </c>
      <c r="B13" s="46">
        <v>509379</v>
      </c>
      <c r="I13">
        <v>2023</v>
      </c>
      <c r="J13">
        <v>39.5</v>
      </c>
      <c r="K13">
        <v>32.200000000000003</v>
      </c>
      <c r="O13" t="s">
        <v>55</v>
      </c>
      <c r="P13" t="s">
        <v>56</v>
      </c>
      <c r="Q13">
        <v>1892</v>
      </c>
      <c r="R13">
        <v>7.92</v>
      </c>
      <c r="W13">
        <v>1881</v>
      </c>
      <c r="X13">
        <v>34934500</v>
      </c>
    </row>
    <row r="14" spans="1:24" x14ac:dyDescent="0.3">
      <c r="A14">
        <v>1958</v>
      </c>
      <c r="B14" s="46">
        <v>516239</v>
      </c>
      <c r="O14" t="s">
        <v>55</v>
      </c>
      <c r="P14" t="s">
        <v>56</v>
      </c>
      <c r="Q14">
        <v>1893</v>
      </c>
      <c r="R14">
        <v>7.95</v>
      </c>
      <c r="W14">
        <v>1882</v>
      </c>
      <c r="X14">
        <v>35206600</v>
      </c>
    </row>
    <row r="15" spans="1:24" x14ac:dyDescent="0.3">
      <c r="A15">
        <v>1959</v>
      </c>
      <c r="B15" s="46">
        <v>538278</v>
      </c>
      <c r="O15" t="s">
        <v>55</v>
      </c>
      <c r="P15" t="s">
        <v>56</v>
      </c>
      <c r="Q15">
        <v>1894</v>
      </c>
      <c r="R15">
        <v>7.98</v>
      </c>
      <c r="W15">
        <v>1883</v>
      </c>
      <c r="X15">
        <v>35449700</v>
      </c>
    </row>
    <row r="16" spans="1:24" x14ac:dyDescent="0.3">
      <c r="A16">
        <v>1960</v>
      </c>
      <c r="B16" s="46">
        <v>572313</v>
      </c>
      <c r="I16" s="48" t="s">
        <v>58</v>
      </c>
      <c r="J16" s="48"/>
      <c r="K16" s="48"/>
      <c r="O16" t="s">
        <v>55</v>
      </c>
      <c r="P16" t="s">
        <v>56</v>
      </c>
      <c r="Q16">
        <v>1895</v>
      </c>
      <c r="R16">
        <v>8.01</v>
      </c>
      <c r="W16">
        <v>1884</v>
      </c>
      <c r="X16">
        <v>35724200</v>
      </c>
    </row>
    <row r="17" spans="1:24" x14ac:dyDescent="0.3">
      <c r="A17">
        <v>1961</v>
      </c>
      <c r="B17" s="46">
        <v>587589</v>
      </c>
      <c r="I17" s="48"/>
      <c r="J17" s="48"/>
      <c r="K17" s="48"/>
      <c r="O17" t="s">
        <v>55</v>
      </c>
      <c r="P17" t="s">
        <v>56</v>
      </c>
      <c r="Q17">
        <v>1896</v>
      </c>
      <c r="R17">
        <v>8.0299999999999994</v>
      </c>
      <c r="W17">
        <v>1885</v>
      </c>
      <c r="X17">
        <v>36015500</v>
      </c>
    </row>
    <row r="18" spans="1:24" x14ac:dyDescent="0.3">
      <c r="A18">
        <v>1962</v>
      </c>
      <c r="B18" s="46">
        <v>593887</v>
      </c>
      <c r="O18" t="s">
        <v>55</v>
      </c>
      <c r="P18" t="s">
        <v>56</v>
      </c>
      <c r="Q18">
        <v>1897</v>
      </c>
      <c r="R18">
        <v>8.06</v>
      </c>
      <c r="W18">
        <v>1886</v>
      </c>
      <c r="X18">
        <v>36313600</v>
      </c>
    </row>
    <row r="19" spans="1:24" x14ac:dyDescent="0.3">
      <c r="A19">
        <v>1963</v>
      </c>
      <c r="B19" s="46">
        <v>622566</v>
      </c>
      <c r="O19" t="s">
        <v>55</v>
      </c>
      <c r="P19" t="s">
        <v>56</v>
      </c>
      <c r="Q19">
        <v>1898</v>
      </c>
      <c r="R19">
        <v>8.08</v>
      </c>
      <c r="W19">
        <v>1887</v>
      </c>
      <c r="X19">
        <v>36599100</v>
      </c>
    </row>
    <row r="20" spans="1:24" x14ac:dyDescent="0.3">
      <c r="A20">
        <v>1964</v>
      </c>
      <c r="B20" s="46">
        <v>658062</v>
      </c>
      <c r="O20" t="s">
        <v>55</v>
      </c>
      <c r="P20" t="s">
        <v>56</v>
      </c>
      <c r="Q20">
        <v>1899</v>
      </c>
      <c r="R20">
        <v>8.1</v>
      </c>
      <c r="W20">
        <v>1888</v>
      </c>
      <c r="X20">
        <v>36881300</v>
      </c>
    </row>
    <row r="21" spans="1:24" x14ac:dyDescent="0.3">
      <c r="A21">
        <v>1965</v>
      </c>
      <c r="B21" s="46">
        <v>671975</v>
      </c>
      <c r="O21" t="s">
        <v>55</v>
      </c>
      <c r="P21" t="s">
        <v>56</v>
      </c>
      <c r="Q21">
        <v>1900</v>
      </c>
      <c r="R21">
        <v>8.11</v>
      </c>
      <c r="W21">
        <v>1889</v>
      </c>
      <c r="X21">
        <v>37178900</v>
      </c>
    </row>
    <row r="22" spans="1:24" x14ac:dyDescent="0.3">
      <c r="A22">
        <v>1966</v>
      </c>
      <c r="B22" s="46">
        <v>682419</v>
      </c>
      <c r="O22" t="s">
        <v>55</v>
      </c>
      <c r="P22" t="s">
        <v>56</v>
      </c>
      <c r="Q22">
        <v>1901</v>
      </c>
      <c r="R22">
        <v>8.1300000000000008</v>
      </c>
      <c r="W22">
        <v>1890</v>
      </c>
      <c r="X22">
        <v>37484800</v>
      </c>
    </row>
    <row r="23" spans="1:24" x14ac:dyDescent="0.3">
      <c r="A23">
        <v>1967</v>
      </c>
      <c r="B23" s="46">
        <v>701215</v>
      </c>
      <c r="O23" t="s">
        <v>55</v>
      </c>
      <c r="P23" t="s">
        <v>56</v>
      </c>
      <c r="Q23">
        <v>1902</v>
      </c>
      <c r="R23">
        <v>8.1300000000000008</v>
      </c>
      <c r="W23">
        <v>1891</v>
      </c>
      <c r="X23">
        <v>37802400</v>
      </c>
    </row>
    <row r="24" spans="1:24" x14ac:dyDescent="0.3">
      <c r="A24">
        <v>1968</v>
      </c>
      <c r="B24" s="46">
        <v>739468</v>
      </c>
      <c r="O24" t="s">
        <v>55</v>
      </c>
      <c r="P24" t="s">
        <v>56</v>
      </c>
      <c r="Q24">
        <v>1903</v>
      </c>
      <c r="R24">
        <v>8.14</v>
      </c>
      <c r="W24">
        <v>1892</v>
      </c>
      <c r="X24">
        <v>38134100</v>
      </c>
    </row>
    <row r="25" spans="1:24" x14ac:dyDescent="0.3">
      <c r="A25">
        <v>1969</v>
      </c>
      <c r="B25" s="46">
        <v>753606</v>
      </c>
      <c r="O25" t="s">
        <v>55</v>
      </c>
      <c r="P25" t="s">
        <v>56</v>
      </c>
      <c r="Q25">
        <v>1904</v>
      </c>
      <c r="R25">
        <v>8.15</v>
      </c>
      <c r="W25">
        <v>1893</v>
      </c>
      <c r="X25">
        <v>38490300</v>
      </c>
    </row>
    <row r="26" spans="1:24" x14ac:dyDescent="0.3">
      <c r="A26">
        <v>1970</v>
      </c>
      <c r="B26" s="46">
        <v>773977</v>
      </c>
      <c r="O26" t="s">
        <v>55</v>
      </c>
      <c r="P26" t="s">
        <v>56</v>
      </c>
      <c r="Q26">
        <v>1905</v>
      </c>
      <c r="R26">
        <v>8.15</v>
      </c>
      <c r="W26">
        <v>1894</v>
      </c>
      <c r="X26">
        <v>38859100</v>
      </c>
    </row>
    <row r="27" spans="1:24" x14ac:dyDescent="0.3">
      <c r="A27">
        <v>1971</v>
      </c>
      <c r="B27" s="46">
        <v>801969</v>
      </c>
      <c r="O27" t="s">
        <v>55</v>
      </c>
      <c r="P27" t="s">
        <v>56</v>
      </c>
      <c r="Q27">
        <v>1906</v>
      </c>
      <c r="R27">
        <v>8.15</v>
      </c>
      <c r="W27">
        <v>1895</v>
      </c>
      <c r="X27">
        <v>39221100</v>
      </c>
    </row>
    <row r="28" spans="1:24" x14ac:dyDescent="0.3">
      <c r="A28">
        <v>1972</v>
      </c>
      <c r="B28" s="46">
        <v>836938</v>
      </c>
      <c r="O28" t="s">
        <v>55</v>
      </c>
      <c r="P28" t="s">
        <v>56</v>
      </c>
      <c r="Q28">
        <v>1907</v>
      </c>
      <c r="R28">
        <v>8.16</v>
      </c>
      <c r="W28">
        <v>1896</v>
      </c>
      <c r="X28">
        <v>39599100</v>
      </c>
    </row>
    <row r="29" spans="1:24" x14ac:dyDescent="0.3">
      <c r="A29">
        <v>1973</v>
      </c>
      <c r="B29" s="46">
        <v>891381</v>
      </c>
      <c r="O29" t="s">
        <v>55</v>
      </c>
      <c r="P29" t="s">
        <v>56</v>
      </c>
      <c r="Q29">
        <v>1908</v>
      </c>
      <c r="R29">
        <v>8.15</v>
      </c>
      <c r="W29">
        <v>1897</v>
      </c>
      <c r="X29">
        <v>39987300</v>
      </c>
    </row>
    <row r="30" spans="1:24" x14ac:dyDescent="0.3">
      <c r="A30">
        <v>1974</v>
      </c>
      <c r="B30" s="46">
        <v>869155</v>
      </c>
      <c r="O30" t="s">
        <v>55</v>
      </c>
      <c r="P30" t="s">
        <v>56</v>
      </c>
      <c r="Q30">
        <v>1909</v>
      </c>
      <c r="R30">
        <v>8.15</v>
      </c>
      <c r="W30">
        <v>1898</v>
      </c>
      <c r="X30">
        <v>40380800</v>
      </c>
    </row>
    <row r="31" spans="1:24" x14ac:dyDescent="0.3">
      <c r="A31">
        <v>1975</v>
      </c>
      <c r="B31" s="46">
        <v>856049</v>
      </c>
      <c r="O31" t="s">
        <v>55</v>
      </c>
      <c r="P31" t="s">
        <v>56</v>
      </c>
      <c r="Q31">
        <v>1910</v>
      </c>
      <c r="R31">
        <v>8.16</v>
      </c>
      <c r="W31">
        <v>1899</v>
      </c>
      <c r="X31">
        <v>40774300</v>
      </c>
    </row>
    <row r="32" spans="1:24" x14ac:dyDescent="0.3">
      <c r="A32">
        <v>1976</v>
      </c>
      <c r="B32" s="46">
        <v>881878</v>
      </c>
      <c r="O32" t="s">
        <v>55</v>
      </c>
      <c r="P32" t="s">
        <v>56</v>
      </c>
      <c r="Q32">
        <v>1911</v>
      </c>
      <c r="R32">
        <v>8.16</v>
      </c>
      <c r="W32">
        <v>1900</v>
      </c>
      <c r="X32">
        <v>41154600</v>
      </c>
    </row>
    <row r="33" spans="1:24" x14ac:dyDescent="0.3">
      <c r="A33">
        <v>1977</v>
      </c>
      <c r="B33" s="46">
        <v>903587</v>
      </c>
      <c r="O33" t="s">
        <v>55</v>
      </c>
      <c r="P33" t="s">
        <v>56</v>
      </c>
      <c r="Q33">
        <v>1912</v>
      </c>
      <c r="R33">
        <v>8.16</v>
      </c>
      <c r="W33">
        <v>1901</v>
      </c>
      <c r="X33">
        <v>41538200</v>
      </c>
    </row>
    <row r="34" spans="1:24" x14ac:dyDescent="0.3">
      <c r="A34">
        <v>1978</v>
      </c>
      <c r="B34" s="46">
        <v>941461</v>
      </c>
      <c r="O34" t="s">
        <v>55</v>
      </c>
      <c r="P34" t="s">
        <v>56</v>
      </c>
      <c r="Q34">
        <v>1913</v>
      </c>
      <c r="R34">
        <v>8.16</v>
      </c>
      <c r="W34">
        <v>1902</v>
      </c>
      <c r="X34">
        <v>41892700</v>
      </c>
    </row>
    <row r="35" spans="1:24" x14ac:dyDescent="0.3">
      <c r="A35">
        <v>1979</v>
      </c>
      <c r="B35" s="46">
        <v>976566</v>
      </c>
      <c r="O35" t="s">
        <v>55</v>
      </c>
      <c r="P35" t="s">
        <v>56</v>
      </c>
      <c r="Q35">
        <v>1914</v>
      </c>
      <c r="R35">
        <v>8.16</v>
      </c>
      <c r="W35">
        <v>1903</v>
      </c>
      <c r="X35">
        <v>42246600</v>
      </c>
    </row>
    <row r="36" spans="1:24" x14ac:dyDescent="0.3">
      <c r="A36">
        <v>1980</v>
      </c>
      <c r="B36" s="46">
        <v>956533</v>
      </c>
      <c r="O36" t="s">
        <v>55</v>
      </c>
      <c r="P36" t="s">
        <v>56</v>
      </c>
      <c r="Q36">
        <v>1915</v>
      </c>
      <c r="R36">
        <v>8.16</v>
      </c>
      <c r="W36">
        <v>1904</v>
      </c>
      <c r="X36">
        <v>42611400</v>
      </c>
    </row>
    <row r="37" spans="1:24" x14ac:dyDescent="0.3">
      <c r="A37">
        <v>1981</v>
      </c>
      <c r="B37" s="46">
        <v>949961</v>
      </c>
      <c r="O37" t="s">
        <v>55</v>
      </c>
      <c r="P37" t="s">
        <v>56</v>
      </c>
      <c r="Q37">
        <v>1916</v>
      </c>
      <c r="R37">
        <v>8.16</v>
      </c>
      <c r="W37">
        <v>1905</v>
      </c>
      <c r="X37">
        <v>42980800</v>
      </c>
    </row>
    <row r="38" spans="1:24" x14ac:dyDescent="0.3">
      <c r="A38">
        <v>1982</v>
      </c>
      <c r="B38" s="46">
        <v>968629</v>
      </c>
      <c r="O38" t="s">
        <v>55</v>
      </c>
      <c r="P38" t="s">
        <v>56</v>
      </c>
      <c r="Q38">
        <v>1917</v>
      </c>
      <c r="R38">
        <v>8.16</v>
      </c>
      <c r="W38">
        <v>1906</v>
      </c>
      <c r="X38">
        <v>43361100</v>
      </c>
    </row>
    <row r="39" spans="1:24" x14ac:dyDescent="0.3">
      <c r="A39">
        <v>1983</v>
      </c>
      <c r="B39" s="46">
        <v>1008981</v>
      </c>
      <c r="O39" t="s">
        <v>55</v>
      </c>
      <c r="P39" t="s">
        <v>56</v>
      </c>
      <c r="Q39">
        <v>1918</v>
      </c>
      <c r="R39">
        <v>8.17</v>
      </c>
      <c r="W39">
        <v>1907</v>
      </c>
      <c r="X39">
        <v>43737800</v>
      </c>
    </row>
    <row r="40" spans="1:24" x14ac:dyDescent="0.3">
      <c r="A40">
        <v>1984</v>
      </c>
      <c r="B40" s="46">
        <v>1031385</v>
      </c>
      <c r="O40" t="s">
        <v>55</v>
      </c>
      <c r="P40" t="s">
        <v>56</v>
      </c>
      <c r="Q40">
        <v>1919</v>
      </c>
      <c r="R40">
        <v>8.17</v>
      </c>
      <c r="W40">
        <v>1908</v>
      </c>
      <c r="X40">
        <v>44123800</v>
      </c>
    </row>
    <row r="41" spans="1:24" x14ac:dyDescent="0.3">
      <c r="A41">
        <v>1985</v>
      </c>
      <c r="B41" s="46">
        <v>1073547</v>
      </c>
      <c r="O41" t="s">
        <v>55</v>
      </c>
      <c r="P41" t="s">
        <v>56</v>
      </c>
      <c r="Q41">
        <v>1920</v>
      </c>
      <c r="R41">
        <v>8.18</v>
      </c>
      <c r="W41">
        <v>1909</v>
      </c>
      <c r="X41">
        <v>44519500</v>
      </c>
    </row>
    <row r="42" spans="1:24" x14ac:dyDescent="0.3">
      <c r="A42">
        <v>1986</v>
      </c>
      <c r="B42" s="46">
        <v>1106912</v>
      </c>
      <c r="O42" t="s">
        <v>55</v>
      </c>
      <c r="P42" t="s">
        <v>56</v>
      </c>
      <c r="Q42">
        <v>1921</v>
      </c>
      <c r="R42">
        <v>8.1999999999999993</v>
      </c>
      <c r="W42">
        <v>1910</v>
      </c>
      <c r="X42">
        <v>44915900</v>
      </c>
    </row>
    <row r="43" spans="1:24" x14ac:dyDescent="0.3">
      <c r="A43">
        <v>1987</v>
      </c>
      <c r="B43" s="46">
        <v>1166905</v>
      </c>
      <c r="O43" t="s">
        <v>55</v>
      </c>
      <c r="P43" t="s">
        <v>56</v>
      </c>
      <c r="Q43">
        <v>1922</v>
      </c>
      <c r="R43">
        <v>8.1999999999999993</v>
      </c>
      <c r="W43">
        <v>1911</v>
      </c>
      <c r="X43">
        <v>42189800</v>
      </c>
    </row>
    <row r="44" spans="1:24" x14ac:dyDescent="0.3">
      <c r="A44">
        <v>1988</v>
      </c>
      <c r="B44" s="46">
        <v>1229650</v>
      </c>
      <c r="O44" t="s">
        <v>55</v>
      </c>
      <c r="P44" t="s">
        <v>56</v>
      </c>
      <c r="Q44">
        <v>1923</v>
      </c>
      <c r="R44">
        <v>8.2100000000000009</v>
      </c>
      <c r="W44">
        <v>1912</v>
      </c>
      <c r="X44">
        <v>42373600</v>
      </c>
    </row>
    <row r="45" spans="1:24" x14ac:dyDescent="0.3">
      <c r="A45">
        <v>1989</v>
      </c>
      <c r="B45" s="46">
        <v>1259191</v>
      </c>
      <c r="O45" t="s">
        <v>55</v>
      </c>
      <c r="P45" t="s">
        <v>56</v>
      </c>
      <c r="Q45">
        <v>1924</v>
      </c>
      <c r="R45">
        <v>8.23</v>
      </c>
      <c r="W45">
        <v>1913</v>
      </c>
      <c r="X45">
        <v>42582300</v>
      </c>
    </row>
    <row r="46" spans="1:24" x14ac:dyDescent="0.3">
      <c r="A46">
        <v>1990</v>
      </c>
      <c r="B46" s="46">
        <v>1266248</v>
      </c>
      <c r="O46" t="s">
        <v>55</v>
      </c>
      <c r="P46" t="s">
        <v>56</v>
      </c>
      <c r="Q46">
        <v>1925</v>
      </c>
      <c r="R46">
        <v>8.24</v>
      </c>
      <c r="W46">
        <v>1914</v>
      </c>
      <c r="X46">
        <v>42956900</v>
      </c>
    </row>
    <row r="47" spans="1:24" x14ac:dyDescent="0.3">
      <c r="A47">
        <v>1991</v>
      </c>
      <c r="B47" s="46">
        <v>1248461</v>
      </c>
      <c r="O47" t="s">
        <v>55</v>
      </c>
      <c r="P47" t="s">
        <v>56</v>
      </c>
      <c r="Q47">
        <v>1926</v>
      </c>
      <c r="R47">
        <v>8.25</v>
      </c>
      <c r="W47">
        <v>1915</v>
      </c>
      <c r="X47">
        <v>41361500</v>
      </c>
    </row>
    <row r="48" spans="1:24" x14ac:dyDescent="0.3">
      <c r="A48">
        <v>1992</v>
      </c>
      <c r="B48" s="46">
        <v>1251525</v>
      </c>
      <c r="O48" t="s">
        <v>55</v>
      </c>
      <c r="P48" t="s">
        <v>56</v>
      </c>
      <c r="Q48">
        <v>1927</v>
      </c>
      <c r="R48">
        <v>8.26</v>
      </c>
      <c r="W48">
        <v>1916</v>
      </c>
      <c r="X48">
        <v>40536300</v>
      </c>
    </row>
    <row r="49" spans="1:24" x14ac:dyDescent="0.3">
      <c r="A49">
        <v>1993</v>
      </c>
      <c r="B49" s="46">
        <v>1279802</v>
      </c>
      <c r="O49" t="s">
        <v>55</v>
      </c>
      <c r="P49" t="s">
        <v>56</v>
      </c>
      <c r="Q49">
        <v>1928</v>
      </c>
      <c r="R49">
        <v>8.27</v>
      </c>
      <c r="W49">
        <v>1917</v>
      </c>
      <c r="X49">
        <v>39780700</v>
      </c>
    </row>
    <row r="50" spans="1:24" x14ac:dyDescent="0.3">
      <c r="A50">
        <v>1994</v>
      </c>
      <c r="B50" s="46">
        <v>1323443</v>
      </c>
      <c r="O50" t="s">
        <v>55</v>
      </c>
      <c r="P50" t="s">
        <v>56</v>
      </c>
      <c r="Q50">
        <v>1929</v>
      </c>
      <c r="R50">
        <v>8.2899999999999991</v>
      </c>
      <c r="W50">
        <v>1918</v>
      </c>
      <c r="X50">
        <v>39582000</v>
      </c>
    </row>
    <row r="51" spans="1:24" x14ac:dyDescent="0.3">
      <c r="A51">
        <v>1995</v>
      </c>
      <c r="B51" s="46">
        <v>1355023</v>
      </c>
      <c r="O51" t="s">
        <v>55</v>
      </c>
      <c r="P51" t="s">
        <v>56</v>
      </c>
      <c r="Q51">
        <v>1930</v>
      </c>
      <c r="R51">
        <v>8.31</v>
      </c>
      <c r="W51">
        <v>1919</v>
      </c>
      <c r="X51">
        <v>42944100</v>
      </c>
    </row>
    <row r="52" spans="1:24" x14ac:dyDescent="0.3">
      <c r="A52">
        <v>1996</v>
      </c>
      <c r="B52" s="46">
        <v>1390010</v>
      </c>
      <c r="O52" t="s">
        <v>55</v>
      </c>
      <c r="P52" t="s">
        <v>56</v>
      </c>
      <c r="Q52">
        <v>1931</v>
      </c>
      <c r="R52">
        <v>8.33</v>
      </c>
      <c r="W52">
        <v>1920</v>
      </c>
      <c r="X52">
        <v>43646400</v>
      </c>
    </row>
    <row r="53" spans="1:24" x14ac:dyDescent="0.3">
      <c r="A53">
        <v>1997</v>
      </c>
      <c r="B53" s="46">
        <v>1458467</v>
      </c>
      <c r="O53" t="s">
        <v>55</v>
      </c>
      <c r="P53" t="s">
        <v>56</v>
      </c>
      <c r="Q53">
        <v>1932</v>
      </c>
      <c r="R53">
        <v>8.35</v>
      </c>
      <c r="W53">
        <v>1921</v>
      </c>
      <c r="X53">
        <v>43904100</v>
      </c>
    </row>
    <row r="54" spans="1:24" x14ac:dyDescent="0.3">
      <c r="A54">
        <v>1998</v>
      </c>
      <c r="B54" s="46">
        <v>1508263</v>
      </c>
      <c r="O54" t="s">
        <v>55</v>
      </c>
      <c r="P54" t="s">
        <v>56</v>
      </c>
      <c r="Q54">
        <v>1933</v>
      </c>
      <c r="R54">
        <v>8.3699999999999992</v>
      </c>
      <c r="W54">
        <v>1922</v>
      </c>
      <c r="X54">
        <v>44331500</v>
      </c>
    </row>
    <row r="55" spans="1:24" x14ac:dyDescent="0.3">
      <c r="A55">
        <v>1999</v>
      </c>
      <c r="B55" s="46">
        <v>1554509</v>
      </c>
      <c r="O55" t="s">
        <v>55</v>
      </c>
      <c r="P55" t="s">
        <v>56</v>
      </c>
      <c r="Q55">
        <v>1934</v>
      </c>
      <c r="R55">
        <v>8.39</v>
      </c>
      <c r="W55">
        <v>1923</v>
      </c>
      <c r="X55">
        <v>44563100</v>
      </c>
    </row>
    <row r="56" spans="1:24" x14ac:dyDescent="0.3">
      <c r="A56">
        <v>2000</v>
      </c>
      <c r="B56" s="46">
        <v>1621644</v>
      </c>
      <c r="O56" t="s">
        <v>55</v>
      </c>
      <c r="P56" t="s">
        <v>56</v>
      </c>
      <c r="Q56">
        <v>1935</v>
      </c>
      <c r="R56">
        <v>8.4</v>
      </c>
      <c r="W56">
        <v>1924</v>
      </c>
      <c r="X56">
        <v>44885600</v>
      </c>
    </row>
    <row r="57" spans="1:24" x14ac:dyDescent="0.3">
      <c r="A57">
        <v>2001</v>
      </c>
      <c r="B57" s="46">
        <v>1663462</v>
      </c>
      <c r="O57" t="s">
        <v>55</v>
      </c>
      <c r="P57" t="s">
        <v>56</v>
      </c>
      <c r="Q57">
        <v>1936</v>
      </c>
      <c r="R57">
        <v>8.42</v>
      </c>
      <c r="W57">
        <v>1925</v>
      </c>
      <c r="X57">
        <v>45040000</v>
      </c>
    </row>
    <row r="58" spans="1:24" x14ac:dyDescent="0.3">
      <c r="A58">
        <v>2002</v>
      </c>
      <c r="B58" s="46">
        <v>1693271</v>
      </c>
      <c r="O58" t="s">
        <v>55</v>
      </c>
      <c r="P58" t="s">
        <v>56</v>
      </c>
      <c r="Q58">
        <v>1937</v>
      </c>
      <c r="R58">
        <v>8.43</v>
      </c>
      <c r="W58">
        <v>1926</v>
      </c>
      <c r="X58">
        <v>45217600</v>
      </c>
    </row>
    <row r="59" spans="1:24" x14ac:dyDescent="0.3">
      <c r="A59">
        <v>2003</v>
      </c>
      <c r="B59" s="46">
        <v>1746551</v>
      </c>
      <c r="O59" t="s">
        <v>55</v>
      </c>
      <c r="P59" t="s">
        <v>56</v>
      </c>
      <c r="Q59">
        <v>1938</v>
      </c>
      <c r="R59">
        <v>8.44</v>
      </c>
      <c r="W59">
        <v>1927</v>
      </c>
      <c r="X59">
        <v>45432000</v>
      </c>
    </row>
    <row r="60" spans="1:24" x14ac:dyDescent="0.3">
      <c r="A60">
        <v>2004</v>
      </c>
      <c r="B60" s="46">
        <v>1788931</v>
      </c>
      <c r="O60" t="s">
        <v>55</v>
      </c>
      <c r="P60" t="s">
        <v>56</v>
      </c>
      <c r="Q60">
        <v>1939</v>
      </c>
      <c r="R60">
        <v>8.4499999999999993</v>
      </c>
      <c r="W60">
        <v>1928</v>
      </c>
      <c r="X60">
        <v>45622200</v>
      </c>
    </row>
    <row r="61" spans="1:24" x14ac:dyDescent="0.3">
      <c r="A61">
        <v>2005</v>
      </c>
      <c r="B61" s="46">
        <v>1837927</v>
      </c>
      <c r="O61" t="s">
        <v>55</v>
      </c>
      <c r="P61" t="s">
        <v>56</v>
      </c>
      <c r="Q61">
        <v>1940</v>
      </c>
      <c r="R61">
        <v>8.4499999999999993</v>
      </c>
      <c r="W61">
        <v>1929</v>
      </c>
      <c r="X61">
        <v>45731000</v>
      </c>
    </row>
    <row r="62" spans="1:24" x14ac:dyDescent="0.3">
      <c r="A62">
        <v>2006</v>
      </c>
      <c r="B62" s="46">
        <v>1881785</v>
      </c>
      <c r="O62" t="s">
        <v>55</v>
      </c>
      <c r="P62" t="s">
        <v>56</v>
      </c>
      <c r="Q62">
        <v>1941</v>
      </c>
      <c r="R62">
        <v>8.4600000000000009</v>
      </c>
      <c r="W62">
        <v>1930</v>
      </c>
      <c r="X62">
        <v>45888900</v>
      </c>
    </row>
    <row r="63" spans="1:24" x14ac:dyDescent="0.3">
      <c r="A63">
        <v>2007</v>
      </c>
      <c r="B63" s="46">
        <v>1931094</v>
      </c>
      <c r="O63" t="s">
        <v>55</v>
      </c>
      <c r="P63" t="s">
        <v>56</v>
      </c>
      <c r="Q63">
        <v>1942</v>
      </c>
      <c r="R63">
        <v>8.4700000000000006</v>
      </c>
      <c r="W63">
        <v>1931</v>
      </c>
      <c r="X63">
        <v>46073600</v>
      </c>
    </row>
    <row r="64" spans="1:24" x14ac:dyDescent="0.3">
      <c r="A64">
        <v>2008</v>
      </c>
      <c r="B64" s="46">
        <v>1926735</v>
      </c>
      <c r="O64" t="s">
        <v>55</v>
      </c>
      <c r="P64" t="s">
        <v>56</v>
      </c>
      <c r="Q64">
        <v>1943</v>
      </c>
      <c r="R64">
        <v>8.48</v>
      </c>
      <c r="W64">
        <v>1932</v>
      </c>
      <c r="X64">
        <v>46335000</v>
      </c>
    </row>
    <row r="65" spans="1:24" x14ac:dyDescent="0.3">
      <c r="A65">
        <v>2009</v>
      </c>
      <c r="B65" s="46">
        <v>1837817</v>
      </c>
      <c r="O65" t="s">
        <v>55</v>
      </c>
      <c r="P65" t="s">
        <v>56</v>
      </c>
      <c r="Q65">
        <v>1944</v>
      </c>
      <c r="R65">
        <v>8.48</v>
      </c>
      <c r="W65">
        <v>1933</v>
      </c>
      <c r="X65">
        <v>46520000</v>
      </c>
    </row>
    <row r="66" spans="1:24" x14ac:dyDescent="0.3">
      <c r="A66">
        <v>2010</v>
      </c>
      <c r="B66" s="46">
        <v>1878960</v>
      </c>
      <c r="O66" t="s">
        <v>55</v>
      </c>
      <c r="P66" t="s">
        <v>56</v>
      </c>
      <c r="Q66">
        <v>1945</v>
      </c>
      <c r="R66">
        <v>8.49</v>
      </c>
      <c r="W66">
        <v>1934</v>
      </c>
      <c r="X66">
        <v>46666000</v>
      </c>
    </row>
    <row r="67" spans="1:24" x14ac:dyDescent="0.3">
      <c r="A67">
        <v>2011</v>
      </c>
      <c r="B67" s="46">
        <v>1900476</v>
      </c>
      <c r="O67" t="s">
        <v>55</v>
      </c>
      <c r="P67" t="s">
        <v>56</v>
      </c>
      <c r="Q67">
        <v>1946</v>
      </c>
      <c r="R67">
        <v>8.49</v>
      </c>
      <c r="W67">
        <v>1935</v>
      </c>
      <c r="X67">
        <v>46868500</v>
      </c>
    </row>
    <row r="68" spans="1:24" x14ac:dyDescent="0.3">
      <c r="A68">
        <v>2012</v>
      </c>
      <c r="B68" s="46">
        <v>1929229</v>
      </c>
      <c r="O68" t="s">
        <v>55</v>
      </c>
      <c r="P68" t="s">
        <v>56</v>
      </c>
      <c r="Q68">
        <v>1947</v>
      </c>
      <c r="R68">
        <v>8.49</v>
      </c>
      <c r="W68">
        <v>1936</v>
      </c>
      <c r="X68">
        <v>47081300</v>
      </c>
    </row>
    <row r="69" spans="1:24" x14ac:dyDescent="0.3">
      <c r="A69">
        <v>2013</v>
      </c>
      <c r="B69" s="46">
        <v>1963807</v>
      </c>
      <c r="O69" t="s">
        <v>55</v>
      </c>
      <c r="P69" t="s">
        <v>56</v>
      </c>
      <c r="Q69">
        <v>1948</v>
      </c>
      <c r="R69">
        <v>8.49</v>
      </c>
      <c r="W69">
        <v>1937</v>
      </c>
      <c r="X69">
        <v>47288600</v>
      </c>
    </row>
    <row r="70" spans="1:24" x14ac:dyDescent="0.3">
      <c r="A70">
        <v>2014</v>
      </c>
      <c r="B70" s="46">
        <v>2026566</v>
      </c>
      <c r="O70" t="s">
        <v>55</v>
      </c>
      <c r="P70" t="s">
        <v>56</v>
      </c>
      <c r="Q70">
        <v>1949</v>
      </c>
      <c r="R70">
        <v>8.48</v>
      </c>
      <c r="W70">
        <v>1938</v>
      </c>
      <c r="X70">
        <v>47494100</v>
      </c>
    </row>
    <row r="71" spans="1:24" x14ac:dyDescent="0.3">
      <c r="A71">
        <v>2015</v>
      </c>
      <c r="B71" s="46">
        <v>2071561</v>
      </c>
      <c r="O71" t="s">
        <v>55</v>
      </c>
      <c r="P71" t="s">
        <v>56</v>
      </c>
      <c r="Q71">
        <v>1950</v>
      </c>
      <c r="R71">
        <v>8.4700000000000006</v>
      </c>
      <c r="W71">
        <v>1939</v>
      </c>
      <c r="X71">
        <v>47547700</v>
      </c>
    </row>
    <row r="72" spans="1:24" x14ac:dyDescent="0.3">
      <c r="A72">
        <v>2016</v>
      </c>
      <c r="B72" s="46">
        <v>2111357</v>
      </c>
      <c r="O72" t="s">
        <v>55</v>
      </c>
      <c r="P72" t="s">
        <v>56</v>
      </c>
      <c r="Q72">
        <v>1951</v>
      </c>
      <c r="R72">
        <v>8.4499999999999993</v>
      </c>
      <c r="W72">
        <v>1940</v>
      </c>
      <c r="X72">
        <v>46029200</v>
      </c>
    </row>
    <row r="73" spans="1:24" x14ac:dyDescent="0.3">
      <c r="A73">
        <v>2017</v>
      </c>
      <c r="B73" s="46">
        <v>2167415</v>
      </c>
      <c r="O73" t="s">
        <v>55</v>
      </c>
      <c r="P73" t="s">
        <v>56</v>
      </c>
      <c r="Q73">
        <v>1952</v>
      </c>
      <c r="R73">
        <v>8.43</v>
      </c>
      <c r="W73">
        <v>1941</v>
      </c>
      <c r="X73">
        <v>44870400</v>
      </c>
    </row>
    <row r="74" spans="1:24" x14ac:dyDescent="0.3">
      <c r="A74">
        <v>2018</v>
      </c>
      <c r="B74" s="46">
        <v>2197841</v>
      </c>
      <c r="O74" t="s">
        <v>55</v>
      </c>
      <c r="P74" t="s">
        <v>56</v>
      </c>
      <c r="Q74">
        <v>1953</v>
      </c>
      <c r="R74">
        <v>8.42</v>
      </c>
      <c r="W74">
        <v>1942</v>
      </c>
      <c r="X74">
        <v>44323000</v>
      </c>
    </row>
    <row r="75" spans="1:24" x14ac:dyDescent="0.3">
      <c r="A75">
        <v>2019</v>
      </c>
      <c r="B75" s="46">
        <v>2233921</v>
      </c>
      <c r="O75" t="s">
        <v>55</v>
      </c>
      <c r="P75" t="s">
        <v>56</v>
      </c>
      <c r="Q75">
        <v>1954</v>
      </c>
      <c r="R75">
        <v>8.4</v>
      </c>
      <c r="W75">
        <v>1943</v>
      </c>
      <c r="X75">
        <v>48261600</v>
      </c>
    </row>
    <row r="76" spans="1:24" x14ac:dyDescent="0.3">
      <c r="A76">
        <v>2020</v>
      </c>
      <c r="B76" s="46">
        <v>2002489</v>
      </c>
      <c r="O76" t="s">
        <v>55</v>
      </c>
      <c r="P76" t="s">
        <v>56</v>
      </c>
      <c r="Q76">
        <v>1955</v>
      </c>
      <c r="R76">
        <v>8.39</v>
      </c>
      <c r="W76">
        <v>1944</v>
      </c>
      <c r="X76">
        <v>48459600</v>
      </c>
    </row>
    <row r="77" spans="1:24" x14ac:dyDescent="0.3">
      <c r="A77">
        <v>2021</v>
      </c>
      <c r="B77" s="46">
        <v>2176203</v>
      </c>
      <c r="O77" t="s">
        <v>55</v>
      </c>
      <c r="P77" t="s">
        <v>56</v>
      </c>
      <c r="Q77">
        <v>1956</v>
      </c>
      <c r="R77">
        <v>8.3800000000000008</v>
      </c>
      <c r="W77">
        <v>1945</v>
      </c>
      <c r="X77">
        <v>48668900</v>
      </c>
    </row>
    <row r="78" spans="1:24" x14ac:dyDescent="0.3">
      <c r="A78">
        <v>2022</v>
      </c>
      <c r="B78" s="46">
        <v>2270764</v>
      </c>
      <c r="O78" t="s">
        <v>55</v>
      </c>
      <c r="P78" t="s">
        <v>56</v>
      </c>
      <c r="Q78">
        <v>1957</v>
      </c>
      <c r="R78">
        <v>8.36</v>
      </c>
      <c r="W78">
        <v>1946</v>
      </c>
      <c r="X78">
        <v>48987800</v>
      </c>
    </row>
    <row r="79" spans="1:24" x14ac:dyDescent="0.3">
      <c r="A79">
        <v>2023</v>
      </c>
      <c r="B79" s="46">
        <v>2273126</v>
      </c>
      <c r="O79" t="s">
        <v>55</v>
      </c>
      <c r="P79" t="s">
        <v>56</v>
      </c>
      <c r="Q79">
        <v>1958</v>
      </c>
      <c r="R79">
        <v>8.35</v>
      </c>
      <c r="W79">
        <v>1947</v>
      </c>
      <c r="X79">
        <v>49538700</v>
      </c>
    </row>
    <row r="80" spans="1:24" x14ac:dyDescent="0.3">
      <c r="O80" t="s">
        <v>55</v>
      </c>
      <c r="P80" t="s">
        <v>56</v>
      </c>
      <c r="Q80">
        <v>1959</v>
      </c>
      <c r="R80">
        <v>8.33</v>
      </c>
      <c r="W80">
        <v>1948</v>
      </c>
      <c r="X80">
        <v>50033200</v>
      </c>
    </row>
    <row r="81" spans="15:24" x14ac:dyDescent="0.3">
      <c r="O81" t="s">
        <v>55</v>
      </c>
      <c r="P81" t="s">
        <v>56</v>
      </c>
      <c r="Q81">
        <v>1960</v>
      </c>
      <c r="R81">
        <v>8.31</v>
      </c>
      <c r="W81">
        <v>1949</v>
      </c>
      <c r="X81">
        <v>50331000</v>
      </c>
    </row>
    <row r="82" spans="15:24" x14ac:dyDescent="0.3">
      <c r="O82" t="s">
        <v>55</v>
      </c>
      <c r="P82" t="s">
        <v>56</v>
      </c>
      <c r="Q82">
        <v>1961</v>
      </c>
      <c r="R82">
        <v>8.2899999999999991</v>
      </c>
      <c r="W82">
        <v>1950</v>
      </c>
      <c r="X82">
        <v>50381500</v>
      </c>
    </row>
    <row r="83" spans="15:24" x14ac:dyDescent="0.3">
      <c r="O83" t="s">
        <v>55</v>
      </c>
      <c r="P83" t="s">
        <v>56</v>
      </c>
      <c r="Q83">
        <v>1962</v>
      </c>
      <c r="R83">
        <v>8.2799999999999994</v>
      </c>
      <c r="W83">
        <v>1951</v>
      </c>
      <c r="X83">
        <v>50286900</v>
      </c>
    </row>
    <row r="84" spans="15:24" x14ac:dyDescent="0.3">
      <c r="O84" t="s">
        <v>55</v>
      </c>
      <c r="P84" t="s">
        <v>56</v>
      </c>
      <c r="Q84">
        <v>1963</v>
      </c>
      <c r="R84">
        <v>8.26</v>
      </c>
      <c r="W84">
        <v>1952</v>
      </c>
      <c r="X84">
        <v>50429200</v>
      </c>
    </row>
    <row r="85" spans="15:24" x14ac:dyDescent="0.3">
      <c r="O85" t="s">
        <v>55</v>
      </c>
      <c r="P85" t="s">
        <v>56</v>
      </c>
      <c r="Q85">
        <v>1964</v>
      </c>
      <c r="R85">
        <v>8.26</v>
      </c>
      <c r="W85">
        <v>1953</v>
      </c>
      <c r="X85">
        <v>50592900</v>
      </c>
    </row>
    <row r="86" spans="15:24" x14ac:dyDescent="0.3">
      <c r="O86" t="s">
        <v>55</v>
      </c>
      <c r="P86" t="s">
        <v>56</v>
      </c>
      <c r="Q86">
        <v>1965</v>
      </c>
      <c r="R86">
        <v>8.26</v>
      </c>
      <c r="W86">
        <v>1954</v>
      </c>
      <c r="X86">
        <v>50764900</v>
      </c>
    </row>
    <row r="87" spans="15:24" x14ac:dyDescent="0.3">
      <c r="O87" t="s">
        <v>55</v>
      </c>
      <c r="P87" t="s">
        <v>56</v>
      </c>
      <c r="Q87">
        <v>1966</v>
      </c>
      <c r="R87">
        <v>8.26</v>
      </c>
      <c r="W87">
        <v>1955</v>
      </c>
      <c r="X87">
        <v>50946100</v>
      </c>
    </row>
    <row r="88" spans="15:24" x14ac:dyDescent="0.3">
      <c r="O88" t="s">
        <v>55</v>
      </c>
      <c r="P88" t="s">
        <v>56</v>
      </c>
      <c r="Q88">
        <v>1967</v>
      </c>
      <c r="R88">
        <v>8.27</v>
      </c>
      <c r="W88">
        <v>1956</v>
      </c>
      <c r="X88">
        <v>51183500</v>
      </c>
    </row>
    <row r="89" spans="15:24" x14ac:dyDescent="0.3">
      <c r="O89" t="s">
        <v>55</v>
      </c>
      <c r="P89" t="s">
        <v>56</v>
      </c>
      <c r="Q89">
        <v>1968</v>
      </c>
      <c r="R89">
        <v>8.27</v>
      </c>
      <c r="W89">
        <v>1957</v>
      </c>
      <c r="X89">
        <v>51430200</v>
      </c>
    </row>
    <row r="90" spans="15:24" x14ac:dyDescent="0.3">
      <c r="O90" t="s">
        <v>55</v>
      </c>
      <c r="P90" t="s">
        <v>56</v>
      </c>
      <c r="Q90">
        <v>1969</v>
      </c>
      <c r="R90">
        <v>8.2799999999999994</v>
      </c>
      <c r="W90">
        <v>1958</v>
      </c>
      <c r="X90">
        <v>51652500</v>
      </c>
    </row>
    <row r="91" spans="15:24" x14ac:dyDescent="0.3">
      <c r="O91" t="s">
        <v>55</v>
      </c>
      <c r="P91" t="s">
        <v>56</v>
      </c>
      <c r="Q91">
        <v>1970</v>
      </c>
      <c r="R91">
        <v>8.2899999999999991</v>
      </c>
      <c r="W91">
        <v>1959</v>
      </c>
      <c r="X91">
        <v>51956300</v>
      </c>
    </row>
    <row r="92" spans="15:24" x14ac:dyDescent="0.3">
      <c r="O92" t="s">
        <v>55</v>
      </c>
      <c r="P92" t="s">
        <v>56</v>
      </c>
      <c r="Q92">
        <v>1971</v>
      </c>
      <c r="R92">
        <v>8.3000000000000007</v>
      </c>
      <c r="W92">
        <v>1960</v>
      </c>
      <c r="X92">
        <v>52372500</v>
      </c>
    </row>
    <row r="93" spans="15:24" x14ac:dyDescent="0.3">
      <c r="O93" t="s">
        <v>55</v>
      </c>
      <c r="P93" t="s">
        <v>56</v>
      </c>
      <c r="Q93">
        <v>1972</v>
      </c>
      <c r="R93">
        <v>8.3000000000000007</v>
      </c>
      <c r="W93">
        <v>1961</v>
      </c>
      <c r="X93">
        <v>52807400</v>
      </c>
    </row>
    <row r="94" spans="15:24" x14ac:dyDescent="0.3">
      <c r="O94" t="s">
        <v>55</v>
      </c>
      <c r="P94" t="s">
        <v>56</v>
      </c>
      <c r="Q94">
        <v>1973</v>
      </c>
      <c r="R94">
        <v>8.3000000000000007</v>
      </c>
      <c r="W94">
        <v>1962</v>
      </c>
      <c r="X94">
        <v>53291800</v>
      </c>
    </row>
    <row r="95" spans="15:24" x14ac:dyDescent="0.3">
      <c r="O95" t="s">
        <v>55</v>
      </c>
      <c r="P95" t="s">
        <v>56</v>
      </c>
      <c r="Q95">
        <v>1974</v>
      </c>
      <c r="R95">
        <v>8.3000000000000007</v>
      </c>
      <c r="W95">
        <v>1963</v>
      </c>
      <c r="X95">
        <v>53624900</v>
      </c>
    </row>
    <row r="96" spans="15:24" x14ac:dyDescent="0.3">
      <c r="O96" t="s">
        <v>55</v>
      </c>
      <c r="P96" t="s">
        <v>56</v>
      </c>
      <c r="Q96">
        <v>1975</v>
      </c>
      <c r="R96">
        <v>8.31</v>
      </c>
      <c r="W96">
        <v>1964</v>
      </c>
      <c r="X96">
        <v>53990800</v>
      </c>
    </row>
    <row r="97" spans="15:24" x14ac:dyDescent="0.3">
      <c r="O97" t="s">
        <v>55</v>
      </c>
      <c r="P97" t="s">
        <v>56</v>
      </c>
      <c r="Q97">
        <v>1976</v>
      </c>
      <c r="R97">
        <v>8.32</v>
      </c>
      <c r="W97">
        <v>1965</v>
      </c>
      <c r="X97">
        <v>54349500</v>
      </c>
    </row>
    <row r="98" spans="15:24" x14ac:dyDescent="0.3">
      <c r="O98" t="s">
        <v>55</v>
      </c>
      <c r="P98" t="s">
        <v>56</v>
      </c>
      <c r="Q98">
        <v>1977</v>
      </c>
      <c r="R98">
        <v>8.33</v>
      </c>
      <c r="W98">
        <v>1966</v>
      </c>
      <c r="X98">
        <v>54642700</v>
      </c>
    </row>
    <row r="99" spans="15:24" x14ac:dyDescent="0.3">
      <c r="O99" t="s">
        <v>55</v>
      </c>
      <c r="P99" t="s">
        <v>56</v>
      </c>
      <c r="Q99">
        <v>1978</v>
      </c>
      <c r="R99">
        <v>8.34</v>
      </c>
      <c r="W99">
        <v>1967</v>
      </c>
      <c r="X99">
        <v>54959000</v>
      </c>
    </row>
    <row r="100" spans="15:24" x14ac:dyDescent="0.3">
      <c r="O100" t="s">
        <v>55</v>
      </c>
      <c r="P100" t="s">
        <v>56</v>
      </c>
      <c r="Q100">
        <v>1979</v>
      </c>
      <c r="R100">
        <v>8.35</v>
      </c>
      <c r="W100">
        <v>1968</v>
      </c>
      <c r="X100">
        <v>55213500</v>
      </c>
    </row>
    <row r="101" spans="15:24" x14ac:dyDescent="0.3">
      <c r="O101" t="s">
        <v>55</v>
      </c>
      <c r="P101" t="s">
        <v>56</v>
      </c>
      <c r="Q101">
        <v>1980</v>
      </c>
      <c r="R101">
        <v>8.36</v>
      </c>
      <c r="W101">
        <v>1969</v>
      </c>
      <c r="X101">
        <v>55460600</v>
      </c>
    </row>
    <row r="102" spans="15:24" x14ac:dyDescent="0.3">
      <c r="O102" t="s">
        <v>55</v>
      </c>
      <c r="P102" t="s">
        <v>56</v>
      </c>
      <c r="Q102">
        <v>1981</v>
      </c>
      <c r="R102">
        <v>8.3800000000000008</v>
      </c>
      <c r="W102">
        <v>1970</v>
      </c>
      <c r="X102">
        <v>55632200</v>
      </c>
    </row>
    <row r="103" spans="15:24" x14ac:dyDescent="0.3">
      <c r="O103" t="s">
        <v>55</v>
      </c>
      <c r="P103" t="s">
        <v>56</v>
      </c>
      <c r="Q103">
        <v>1982</v>
      </c>
      <c r="R103">
        <v>8.4</v>
      </c>
      <c r="W103">
        <v>1971</v>
      </c>
      <c r="X103">
        <v>55928000</v>
      </c>
    </row>
    <row r="104" spans="15:24" x14ac:dyDescent="0.3">
      <c r="O104" t="s">
        <v>55</v>
      </c>
      <c r="P104" t="s">
        <v>56</v>
      </c>
      <c r="Q104">
        <v>1983</v>
      </c>
      <c r="R104">
        <v>8.42</v>
      </c>
      <c r="W104">
        <v>1972</v>
      </c>
      <c r="X104">
        <v>56096700</v>
      </c>
    </row>
    <row r="105" spans="15:24" x14ac:dyDescent="0.3">
      <c r="O105" t="s">
        <v>55</v>
      </c>
      <c r="P105" t="s">
        <v>56</v>
      </c>
      <c r="Q105">
        <v>1984</v>
      </c>
      <c r="R105">
        <v>8.44</v>
      </c>
      <c r="W105">
        <v>1973</v>
      </c>
      <c r="X105">
        <v>56222900</v>
      </c>
    </row>
    <row r="106" spans="15:24" x14ac:dyDescent="0.3">
      <c r="O106" t="s">
        <v>55</v>
      </c>
      <c r="P106" t="s">
        <v>56</v>
      </c>
      <c r="Q106">
        <v>1985</v>
      </c>
      <c r="R106">
        <v>8.4600000000000009</v>
      </c>
      <c r="W106">
        <v>1974</v>
      </c>
      <c r="X106">
        <v>56235600</v>
      </c>
    </row>
    <row r="107" spans="15:24" x14ac:dyDescent="0.3">
      <c r="O107" t="s">
        <v>55</v>
      </c>
      <c r="P107" t="s">
        <v>56</v>
      </c>
      <c r="Q107">
        <v>1986</v>
      </c>
      <c r="R107">
        <v>8.49</v>
      </c>
      <c r="W107">
        <v>1975</v>
      </c>
      <c r="X107">
        <v>56225700</v>
      </c>
    </row>
    <row r="108" spans="15:24" x14ac:dyDescent="0.3">
      <c r="O108" t="s">
        <v>55</v>
      </c>
      <c r="P108" t="s">
        <v>56</v>
      </c>
      <c r="Q108">
        <v>1987</v>
      </c>
      <c r="R108">
        <v>8.52</v>
      </c>
      <c r="W108">
        <v>1976</v>
      </c>
      <c r="X108">
        <v>56216100</v>
      </c>
    </row>
    <row r="109" spans="15:24" x14ac:dyDescent="0.3">
      <c r="O109" t="s">
        <v>55</v>
      </c>
      <c r="P109" t="s">
        <v>56</v>
      </c>
      <c r="Q109">
        <v>1988</v>
      </c>
      <c r="R109">
        <v>8.57</v>
      </c>
      <c r="W109">
        <v>1977</v>
      </c>
      <c r="X109">
        <v>56189900</v>
      </c>
    </row>
    <row r="110" spans="15:24" x14ac:dyDescent="0.3">
      <c r="O110" t="s">
        <v>55</v>
      </c>
      <c r="P110" t="s">
        <v>56</v>
      </c>
      <c r="Q110">
        <v>1989</v>
      </c>
      <c r="R110">
        <v>8.6199999999999992</v>
      </c>
      <c r="W110">
        <v>1978</v>
      </c>
      <c r="X110">
        <v>56178000</v>
      </c>
    </row>
    <row r="111" spans="15:24" x14ac:dyDescent="0.3">
      <c r="O111" t="s">
        <v>55</v>
      </c>
      <c r="P111" t="s">
        <v>56</v>
      </c>
      <c r="Q111">
        <v>1990</v>
      </c>
      <c r="R111">
        <v>8.66</v>
      </c>
      <c r="W111">
        <v>1979</v>
      </c>
      <c r="X111">
        <v>56240100</v>
      </c>
    </row>
    <row r="112" spans="15:24" x14ac:dyDescent="0.3">
      <c r="O112" t="s">
        <v>55</v>
      </c>
      <c r="P112" t="s">
        <v>56</v>
      </c>
      <c r="Q112">
        <v>1991</v>
      </c>
      <c r="R112">
        <v>8.6999999999999993</v>
      </c>
      <c r="W112">
        <v>1980</v>
      </c>
      <c r="X112">
        <v>56329700</v>
      </c>
    </row>
    <row r="113" spans="15:24" x14ac:dyDescent="0.3">
      <c r="O113" t="s">
        <v>55</v>
      </c>
      <c r="P113" t="s">
        <v>56</v>
      </c>
      <c r="Q113">
        <v>1992</v>
      </c>
      <c r="R113">
        <v>8.75</v>
      </c>
      <c r="W113">
        <v>1981</v>
      </c>
      <c r="X113">
        <v>56357500</v>
      </c>
    </row>
    <row r="114" spans="15:24" x14ac:dyDescent="0.3">
      <c r="O114" t="s">
        <v>55</v>
      </c>
      <c r="P114" t="s">
        <v>56</v>
      </c>
      <c r="Q114">
        <v>1993</v>
      </c>
      <c r="R114">
        <v>8.8000000000000007</v>
      </c>
      <c r="W114">
        <v>1982</v>
      </c>
      <c r="X114">
        <v>56290700</v>
      </c>
    </row>
    <row r="115" spans="15:24" x14ac:dyDescent="0.3">
      <c r="O115" t="s">
        <v>55</v>
      </c>
      <c r="P115" t="s">
        <v>56</v>
      </c>
      <c r="Q115">
        <v>1994</v>
      </c>
      <c r="R115">
        <v>8.85</v>
      </c>
      <c r="W115">
        <v>1983</v>
      </c>
      <c r="X115">
        <v>56315700</v>
      </c>
    </row>
    <row r="116" spans="15:24" x14ac:dyDescent="0.3">
      <c r="O116" t="s">
        <v>55</v>
      </c>
      <c r="P116" t="s">
        <v>56</v>
      </c>
      <c r="Q116">
        <v>1995</v>
      </c>
      <c r="R116">
        <v>8.9</v>
      </c>
      <c r="W116">
        <v>1984</v>
      </c>
      <c r="X116">
        <v>56409300</v>
      </c>
    </row>
    <row r="117" spans="15:24" x14ac:dyDescent="0.3">
      <c r="O117" t="s">
        <v>55</v>
      </c>
      <c r="P117" t="s">
        <v>56</v>
      </c>
      <c r="Q117">
        <v>1996</v>
      </c>
      <c r="R117">
        <v>8.94</v>
      </c>
      <c r="W117">
        <v>1985</v>
      </c>
      <c r="X117">
        <v>56554000</v>
      </c>
    </row>
    <row r="118" spans="15:24" x14ac:dyDescent="0.3">
      <c r="O118" t="s">
        <v>55</v>
      </c>
      <c r="P118" t="s">
        <v>56</v>
      </c>
      <c r="Q118">
        <v>1997</v>
      </c>
      <c r="R118">
        <v>8.98</v>
      </c>
      <c r="W118">
        <v>1986</v>
      </c>
      <c r="X118">
        <v>56683800</v>
      </c>
    </row>
    <row r="119" spans="15:24" x14ac:dyDescent="0.3">
      <c r="O119" t="s">
        <v>55</v>
      </c>
      <c r="P119" t="s">
        <v>56</v>
      </c>
      <c r="Q119">
        <v>1998</v>
      </c>
      <c r="R119">
        <v>9.02</v>
      </c>
      <c r="W119">
        <v>1987</v>
      </c>
      <c r="X119">
        <v>56804000</v>
      </c>
    </row>
    <row r="120" spans="15:24" x14ac:dyDescent="0.3">
      <c r="O120" t="s">
        <v>55</v>
      </c>
      <c r="P120" t="s">
        <v>56</v>
      </c>
      <c r="Q120">
        <v>1999</v>
      </c>
      <c r="R120">
        <v>9.0500000000000007</v>
      </c>
      <c r="W120">
        <v>1988</v>
      </c>
      <c r="X120">
        <v>56916400</v>
      </c>
    </row>
    <row r="121" spans="15:24" x14ac:dyDescent="0.3">
      <c r="O121" t="s">
        <v>55</v>
      </c>
      <c r="P121" t="s">
        <v>56</v>
      </c>
      <c r="Q121">
        <v>2000</v>
      </c>
      <c r="R121">
        <v>9.09</v>
      </c>
      <c r="W121">
        <v>1989</v>
      </c>
      <c r="X121">
        <v>57076500</v>
      </c>
    </row>
    <row r="122" spans="15:24" x14ac:dyDescent="0.3">
      <c r="O122" t="s">
        <v>55</v>
      </c>
      <c r="P122" t="s">
        <v>56</v>
      </c>
      <c r="Q122">
        <v>2001</v>
      </c>
      <c r="R122">
        <v>9.1199999999999992</v>
      </c>
      <c r="W122">
        <v>1990</v>
      </c>
      <c r="X122">
        <v>57237500</v>
      </c>
    </row>
    <row r="123" spans="15:24" x14ac:dyDescent="0.3">
      <c r="O123" t="s">
        <v>55</v>
      </c>
      <c r="P123" t="s">
        <v>56</v>
      </c>
      <c r="Q123">
        <v>2002</v>
      </c>
      <c r="R123">
        <v>9.14</v>
      </c>
      <c r="W123">
        <v>1991</v>
      </c>
      <c r="X123">
        <v>57438700</v>
      </c>
    </row>
    <row r="124" spans="15:24" x14ac:dyDescent="0.3">
      <c r="O124" t="s">
        <v>55</v>
      </c>
      <c r="P124" t="s">
        <v>56</v>
      </c>
      <c r="Q124">
        <v>2003</v>
      </c>
      <c r="R124">
        <v>9.16</v>
      </c>
      <c r="W124">
        <v>1992</v>
      </c>
      <c r="X124">
        <v>57584500</v>
      </c>
    </row>
    <row r="125" spans="15:24" x14ac:dyDescent="0.3">
      <c r="O125" t="s">
        <v>55</v>
      </c>
      <c r="P125" t="s">
        <v>56</v>
      </c>
      <c r="Q125">
        <v>2004</v>
      </c>
      <c r="R125">
        <v>9.17</v>
      </c>
      <c r="W125">
        <v>1993</v>
      </c>
      <c r="X125">
        <v>57713900</v>
      </c>
    </row>
    <row r="126" spans="15:24" x14ac:dyDescent="0.3">
      <c r="O126" t="s">
        <v>55</v>
      </c>
      <c r="P126" t="s">
        <v>56</v>
      </c>
      <c r="Q126">
        <v>2005</v>
      </c>
      <c r="R126">
        <v>9.19</v>
      </c>
      <c r="W126">
        <v>1994</v>
      </c>
      <c r="X126">
        <v>57862100</v>
      </c>
    </row>
    <row r="127" spans="15:24" x14ac:dyDescent="0.3">
      <c r="O127" t="s">
        <v>55</v>
      </c>
      <c r="P127" t="s">
        <v>56</v>
      </c>
      <c r="Q127">
        <v>2006</v>
      </c>
      <c r="R127">
        <v>9.1999999999999993</v>
      </c>
      <c r="W127">
        <v>1995</v>
      </c>
      <c r="X127">
        <v>58024800</v>
      </c>
    </row>
    <row r="128" spans="15:24" x14ac:dyDescent="0.3">
      <c r="O128" t="s">
        <v>55</v>
      </c>
      <c r="P128" t="s">
        <v>56</v>
      </c>
      <c r="Q128">
        <v>2007</v>
      </c>
      <c r="R128">
        <v>9.2100000000000009</v>
      </c>
      <c r="W128">
        <v>1996</v>
      </c>
      <c r="X128">
        <v>58164400</v>
      </c>
    </row>
    <row r="129" spans="15:24" x14ac:dyDescent="0.3">
      <c r="O129" t="s">
        <v>55</v>
      </c>
      <c r="P129" t="s">
        <v>56</v>
      </c>
      <c r="Q129">
        <v>2008</v>
      </c>
      <c r="R129">
        <v>9.2200000000000006</v>
      </c>
      <c r="W129">
        <v>1997</v>
      </c>
      <c r="X129">
        <v>58314200</v>
      </c>
    </row>
    <row r="130" spans="15:24" x14ac:dyDescent="0.3">
      <c r="O130" t="s">
        <v>55</v>
      </c>
      <c r="P130" t="s">
        <v>56</v>
      </c>
      <c r="Q130">
        <v>2009</v>
      </c>
      <c r="R130">
        <v>9.23</v>
      </c>
      <c r="W130">
        <v>1998</v>
      </c>
      <c r="X130">
        <v>58474900</v>
      </c>
    </row>
    <row r="131" spans="15:24" x14ac:dyDescent="0.3">
      <c r="O131" t="s">
        <v>55</v>
      </c>
      <c r="P131" t="s">
        <v>56</v>
      </c>
      <c r="Q131">
        <v>2010</v>
      </c>
      <c r="R131">
        <v>9.23</v>
      </c>
      <c r="W131">
        <v>1999</v>
      </c>
      <c r="X131">
        <v>58684400</v>
      </c>
    </row>
    <row r="132" spans="15:24" x14ac:dyDescent="0.3">
      <c r="O132" t="s">
        <v>55</v>
      </c>
      <c r="P132" t="s">
        <v>56</v>
      </c>
      <c r="Q132">
        <v>2011</v>
      </c>
      <c r="R132">
        <v>9.25</v>
      </c>
      <c r="W132">
        <v>2000</v>
      </c>
      <c r="X132">
        <v>58886100</v>
      </c>
    </row>
    <row r="133" spans="15:24" x14ac:dyDescent="0.3">
      <c r="O133" t="s">
        <v>55</v>
      </c>
      <c r="P133" t="s">
        <v>56</v>
      </c>
      <c r="Q133">
        <v>2012</v>
      </c>
      <c r="R133">
        <v>9.27</v>
      </c>
      <c r="W133">
        <v>2001</v>
      </c>
      <c r="X133">
        <v>59113000</v>
      </c>
    </row>
    <row r="134" spans="15:24" x14ac:dyDescent="0.3">
      <c r="O134" t="s">
        <v>55</v>
      </c>
      <c r="P134" t="s">
        <v>56</v>
      </c>
      <c r="Q134">
        <v>2013</v>
      </c>
      <c r="R134">
        <v>9.2799999999999994</v>
      </c>
      <c r="W134">
        <v>2002</v>
      </c>
      <c r="X134">
        <v>59365700</v>
      </c>
    </row>
    <row r="135" spans="15:24" x14ac:dyDescent="0.3">
      <c r="O135" t="s">
        <v>55</v>
      </c>
      <c r="P135" t="s">
        <v>56</v>
      </c>
      <c r="Q135">
        <v>2014</v>
      </c>
      <c r="R135">
        <v>9.31</v>
      </c>
      <c r="W135">
        <v>2003</v>
      </c>
      <c r="X135">
        <v>59636700</v>
      </c>
    </row>
    <row r="136" spans="15:24" x14ac:dyDescent="0.3">
      <c r="O136" t="s">
        <v>55</v>
      </c>
      <c r="P136" t="s">
        <v>56</v>
      </c>
      <c r="Q136">
        <v>2015</v>
      </c>
      <c r="R136">
        <v>9.33</v>
      </c>
      <c r="W136">
        <v>2004</v>
      </c>
      <c r="X136">
        <v>59950400</v>
      </c>
    </row>
    <row r="137" spans="15:24" x14ac:dyDescent="0.3">
      <c r="O137" t="s">
        <v>55</v>
      </c>
      <c r="P137" t="s">
        <v>56</v>
      </c>
      <c r="Q137">
        <v>2016</v>
      </c>
      <c r="R137">
        <v>9.35</v>
      </c>
      <c r="W137">
        <v>2005</v>
      </c>
      <c r="X137">
        <v>60413300</v>
      </c>
    </row>
    <row r="138" spans="15:24" x14ac:dyDescent="0.3">
      <c r="O138" t="s">
        <v>55</v>
      </c>
      <c r="P138" t="s">
        <v>56</v>
      </c>
      <c r="Q138">
        <v>2017</v>
      </c>
      <c r="R138">
        <v>9.3699999999999992</v>
      </c>
      <c r="W138">
        <v>2006</v>
      </c>
      <c r="X138">
        <v>60827100</v>
      </c>
    </row>
    <row r="139" spans="15:24" x14ac:dyDescent="0.3">
      <c r="O139" t="s">
        <v>55</v>
      </c>
      <c r="P139" t="s">
        <v>56</v>
      </c>
      <c r="Q139">
        <v>2018</v>
      </c>
      <c r="R139">
        <v>9.3800000000000008</v>
      </c>
      <c r="W139">
        <v>2007</v>
      </c>
      <c r="X139">
        <v>61319100</v>
      </c>
    </row>
    <row r="140" spans="15:24" x14ac:dyDescent="0.3">
      <c r="O140" t="s">
        <v>55</v>
      </c>
      <c r="P140" t="s">
        <v>56</v>
      </c>
      <c r="Q140">
        <v>2019</v>
      </c>
      <c r="R140">
        <v>9.39</v>
      </c>
      <c r="W140">
        <v>2008</v>
      </c>
      <c r="X140">
        <v>61823800</v>
      </c>
    </row>
    <row r="141" spans="15:24" x14ac:dyDescent="0.3">
      <c r="O141" t="s">
        <v>55</v>
      </c>
      <c r="P141" t="s">
        <v>56</v>
      </c>
      <c r="Q141">
        <v>2020</v>
      </c>
      <c r="R141">
        <v>9.41</v>
      </c>
      <c r="W141">
        <v>2009</v>
      </c>
      <c r="X141">
        <v>62260500</v>
      </c>
    </row>
    <row r="142" spans="15:24" x14ac:dyDescent="0.3">
      <c r="O142" t="s">
        <v>55</v>
      </c>
      <c r="P142" t="s">
        <v>56</v>
      </c>
      <c r="Q142">
        <v>2021</v>
      </c>
      <c r="R142">
        <v>9.41</v>
      </c>
      <c r="W142">
        <v>2010</v>
      </c>
      <c r="X142">
        <v>62759500</v>
      </c>
    </row>
    <row r="143" spans="15:24" x14ac:dyDescent="0.3">
      <c r="O143" t="s">
        <v>55</v>
      </c>
      <c r="P143" t="s">
        <v>56</v>
      </c>
      <c r="Q143">
        <v>2022</v>
      </c>
      <c r="R143">
        <v>9.42</v>
      </c>
      <c r="W143">
        <v>2011</v>
      </c>
      <c r="X143">
        <v>63285100</v>
      </c>
    </row>
    <row r="144" spans="15:24" x14ac:dyDescent="0.3">
      <c r="W144">
        <v>2012</v>
      </c>
      <c r="X144">
        <v>63710800</v>
      </c>
    </row>
    <row r="145" spans="23:24" x14ac:dyDescent="0.3">
      <c r="W145">
        <v>2013</v>
      </c>
      <c r="X145">
        <v>64138700</v>
      </c>
    </row>
    <row r="146" spans="23:24" x14ac:dyDescent="0.3">
      <c r="W146">
        <v>2014</v>
      </c>
      <c r="X146">
        <v>64619500</v>
      </c>
    </row>
    <row r="147" spans="23:24" x14ac:dyDescent="0.3">
      <c r="W147">
        <v>2015</v>
      </c>
      <c r="X147">
        <v>65088100</v>
      </c>
    </row>
    <row r="148" spans="23:24" x14ac:dyDescent="0.3">
      <c r="W148">
        <v>2016</v>
      </c>
      <c r="X148">
        <v>65607100</v>
      </c>
    </row>
    <row r="149" spans="23:24" x14ac:dyDescent="0.3">
      <c r="W149">
        <v>2017</v>
      </c>
      <c r="X149">
        <v>65966000</v>
      </c>
    </row>
    <row r="150" spans="23:24" x14ac:dyDescent="0.3">
      <c r="W150">
        <v>2018</v>
      </c>
      <c r="X150">
        <v>66288900</v>
      </c>
    </row>
    <row r="151" spans="23:24" x14ac:dyDescent="0.3">
      <c r="W151">
        <v>2019</v>
      </c>
      <c r="X151">
        <v>66630700</v>
      </c>
    </row>
    <row r="152" spans="23:24" x14ac:dyDescent="0.3">
      <c r="W152">
        <v>2020</v>
      </c>
      <c r="X152">
        <v>66744100</v>
      </c>
    </row>
    <row r="153" spans="23:24" x14ac:dyDescent="0.3">
      <c r="W153">
        <v>2021</v>
      </c>
      <c r="X153">
        <v>66983500</v>
      </c>
    </row>
    <row r="154" spans="23:24" x14ac:dyDescent="0.3">
      <c r="W154">
        <v>2022</v>
      </c>
      <c r="X154">
        <v>67602800</v>
      </c>
    </row>
    <row r="155" spans="23:24" x14ac:dyDescent="0.3">
      <c r="W155">
        <v>2023</v>
      </c>
      <c r="X155">
        <v>68265200</v>
      </c>
    </row>
  </sheetData>
  <mergeCells count="2">
    <mergeCell ref="N1:S3"/>
    <mergeCell ref="I16:K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A98C7-9B63-4C0A-A7C9-6148D44B63E3}">
  <dimension ref="A1:AL27"/>
  <sheetViews>
    <sheetView workbookViewId="0">
      <selection activeCell="G6" sqref="G6"/>
    </sheetView>
  </sheetViews>
  <sheetFormatPr defaultColWidth="8.58203125" defaultRowHeight="14" x14ac:dyDescent="0.3"/>
  <cols>
    <col min="1" max="1" width="18.58203125" style="1" customWidth="1"/>
    <col min="2" max="2" width="12" style="1" bestFit="1" customWidth="1"/>
    <col min="3" max="3" width="11.58203125" style="1" customWidth="1"/>
    <col min="4" max="4" width="10.33203125" style="1" customWidth="1"/>
    <col min="5" max="5" width="11.83203125" style="1" bestFit="1" customWidth="1"/>
    <col min="6" max="6" width="8.58203125" style="1"/>
    <col min="7" max="7" width="100.58203125" style="1" customWidth="1"/>
    <col min="8" max="8" width="11.58203125" style="14" bestFit="1" customWidth="1"/>
    <col min="9" max="9" width="8.75" style="14" bestFit="1" customWidth="1"/>
    <col min="10" max="10" width="10.83203125" style="14" bestFit="1" customWidth="1"/>
    <col min="11" max="11" width="11.58203125" style="14" bestFit="1" customWidth="1"/>
    <col min="12" max="12" width="8.75" style="14" bestFit="1" customWidth="1"/>
    <col min="13" max="13" width="8.58203125" style="15"/>
    <col min="14" max="15" width="8.75" style="15" bestFit="1" customWidth="1"/>
    <col min="16" max="16" width="9.83203125" style="14" bestFit="1" customWidth="1"/>
    <col min="17" max="17" width="8.58203125" style="15"/>
    <col min="18" max="23" width="8.75" style="14" bestFit="1" customWidth="1"/>
    <col min="24" max="38" width="8.58203125" style="14"/>
    <col min="39" max="16384" width="8.58203125" style="1"/>
  </cols>
  <sheetData>
    <row r="1" spans="1:23" x14ac:dyDescent="0.3">
      <c r="A1" s="11" t="s">
        <v>41</v>
      </c>
      <c r="H1" s="14" t="s">
        <v>2</v>
      </c>
      <c r="N1" s="15" t="s">
        <v>16</v>
      </c>
      <c r="O1" s="15" t="s">
        <v>17</v>
      </c>
      <c r="P1" s="14" t="s">
        <v>31</v>
      </c>
      <c r="R1" s="14" t="s">
        <v>36</v>
      </c>
      <c r="S1" s="14" t="s">
        <v>1</v>
      </c>
      <c r="T1" s="14" t="s">
        <v>37</v>
      </c>
      <c r="U1" s="14" t="s">
        <v>38</v>
      </c>
      <c r="V1" s="14" t="s">
        <v>39</v>
      </c>
      <c r="W1" s="14" t="s">
        <v>40</v>
      </c>
    </row>
    <row r="2" spans="1:23" x14ac:dyDescent="0.3">
      <c r="H2" s="14">
        <f t="array" ref="H2:L6">MINVERSE(MMULT(TRANSPOSE(S2:W10),S2:W10))</f>
        <v>332648.48606394191</v>
      </c>
      <c r="I2" s="14">
        <v>-1.8865180862499553E-3</v>
      </c>
      <c r="J2" s="14">
        <v>36.711962463208849</v>
      </c>
      <c r="K2" s="14">
        <v>-46037.483549582423</v>
      </c>
      <c r="L2" s="14">
        <v>1.54202953276805E-3</v>
      </c>
      <c r="N2" s="15">
        <f t="shared" ref="N2:N10" si="0">MMULT(S2:W2,$B$19:$B$23)</f>
        <v>55629.865470245713</v>
      </c>
      <c r="O2" s="15">
        <f t="shared" ref="O2:O10" si="1">R2-N2</f>
        <v>-1011.8654702457134</v>
      </c>
      <c r="R2" s="14">
        <v>54618</v>
      </c>
      <c r="S2" s="14">
        <v>1</v>
      </c>
      <c r="T2" s="14">
        <v>2026566</v>
      </c>
      <c r="U2" s="14">
        <v>10.7</v>
      </c>
      <c r="V2" s="14">
        <v>9.31</v>
      </c>
      <c r="W2" s="14">
        <v>64619500</v>
      </c>
    </row>
    <row r="3" spans="1:23" ht="15.5" x14ac:dyDescent="0.35">
      <c r="A3" s="1" t="s">
        <v>6</v>
      </c>
      <c r="B3" s="29" t="str">
        <f xml:space="preserve"> "Y" &amp; " = " &amp; ROUND(B19,2) &amp; IF(SIGN(B20)=-1, " "," + ") &amp; ROUND(B20, 2) &amp; " " &amp; A20 &amp; IF(SIGN(B21)=-1, " "," + ") &amp; ROUND(B21, 2) &amp; " " &amp; A21 &amp; IF(SIGN(B22)=-1, " "," + ") &amp; ROUND(B22, 2) &amp; " " &amp; A22 &amp; IF(SIGN(B23)=-1, " "," + ") &amp; ROUND(B23, 2) &amp; " " &amp; A23</f>
        <v>Y = -412831.13 + 0.07 GDP -31.32 % renewables + 115631.39 Mean temperature -0.01 Population</v>
      </c>
      <c r="H3" s="14">
        <v>-1.886518086025573E-3</v>
      </c>
      <c r="I3" s="14">
        <v>6.1316852422962217E-11</v>
      </c>
      <c r="J3" s="14">
        <v>4.6961241546781646E-7</v>
      </c>
      <c r="K3" s="14">
        <v>3.4411655146063659E-4</v>
      </c>
      <c r="L3" s="14">
        <v>-2.2403772996179384E-11</v>
      </c>
      <c r="N3" s="15">
        <f t="shared" si="0"/>
        <v>55552.673480115482</v>
      </c>
      <c r="O3" s="15">
        <f t="shared" si="1"/>
        <v>-935.67348011548165</v>
      </c>
      <c r="P3" s="14">
        <f t="shared" ref="P3:P10" si="2">(O3-O2)^2</f>
        <v>5805.219360005327</v>
      </c>
      <c r="R3" s="14">
        <v>54617</v>
      </c>
      <c r="S3" s="14">
        <v>1</v>
      </c>
      <c r="T3" s="14">
        <v>2071561</v>
      </c>
      <c r="U3" s="14">
        <v>14.2</v>
      </c>
      <c r="V3" s="14">
        <v>9.33</v>
      </c>
      <c r="W3" s="14">
        <v>65088100</v>
      </c>
    </row>
    <row r="4" spans="1:23" x14ac:dyDescent="0.3">
      <c r="H4" s="14">
        <v>36.71196246856411</v>
      </c>
      <c r="I4" s="14">
        <v>4.6961241541276504E-7</v>
      </c>
      <c r="J4" s="14">
        <v>2.241764045211064E-2</v>
      </c>
      <c r="K4" s="14">
        <v>-3.0581276755786733</v>
      </c>
      <c r="L4" s="14">
        <v>-1.4531122286732059E-7</v>
      </c>
      <c r="N4" s="15">
        <f t="shared" si="0"/>
        <v>54625.802643483737</v>
      </c>
      <c r="O4" s="15">
        <f t="shared" si="1"/>
        <v>1460.1973565162625</v>
      </c>
      <c r="P4" s="14">
        <f t="shared" si="2"/>
        <v>5740197.0658224942</v>
      </c>
      <c r="R4" s="14">
        <v>56086</v>
      </c>
      <c r="S4" s="14">
        <v>1</v>
      </c>
      <c r="T4" s="14">
        <v>2111357</v>
      </c>
      <c r="U4" s="14">
        <v>14.5</v>
      </c>
      <c r="V4" s="14">
        <v>9.35</v>
      </c>
      <c r="W4" s="14">
        <v>65607100</v>
      </c>
    </row>
    <row r="5" spans="1:23" x14ac:dyDescent="0.3">
      <c r="A5" s="12"/>
      <c r="B5" s="12" t="s">
        <v>7</v>
      </c>
      <c r="C5" s="12" t="s">
        <v>8</v>
      </c>
      <c r="D5" s="12" t="s">
        <v>9</v>
      </c>
      <c r="E5" s="12"/>
      <c r="F5" s="12"/>
      <c r="H5" s="14">
        <v>-46037.483548948076</v>
      </c>
      <c r="I5" s="14">
        <v>3.4411655148810182E-4</v>
      </c>
      <c r="J5" s="14">
        <v>-3.0581276747675248</v>
      </c>
      <c r="K5" s="14">
        <v>6610.2067653104241</v>
      </c>
      <c r="L5" s="14">
        <v>-2.5069590134126177E-4</v>
      </c>
      <c r="N5" s="15">
        <f t="shared" si="0"/>
        <v>56526.361658637528</v>
      </c>
      <c r="O5" s="15">
        <f t="shared" si="1"/>
        <v>926.63834136247169</v>
      </c>
      <c r="P5" s="14">
        <f t="shared" si="2"/>
        <v>284685.2226518832</v>
      </c>
      <c r="R5" s="14">
        <v>57453</v>
      </c>
      <c r="S5" s="14">
        <v>1</v>
      </c>
      <c r="T5" s="14">
        <v>2167415</v>
      </c>
      <c r="U5" s="14">
        <v>20.3</v>
      </c>
      <c r="V5" s="14">
        <v>9.3699999999999992</v>
      </c>
      <c r="W5" s="14">
        <v>65966000</v>
      </c>
    </row>
    <row r="6" spans="1:23" x14ac:dyDescent="0.3">
      <c r="A6" s="12" t="s">
        <v>10</v>
      </c>
      <c r="B6" s="12" t="s">
        <v>11</v>
      </c>
      <c r="C6" s="12" t="s">
        <v>12</v>
      </c>
      <c r="D6" s="12" t="s">
        <v>13</v>
      </c>
      <c r="E6" s="12" t="s">
        <v>14</v>
      </c>
      <c r="F6" s="12" t="s">
        <v>15</v>
      </c>
      <c r="H6" s="14">
        <v>1.5420295326688794E-3</v>
      </c>
      <c r="I6" s="14">
        <v>-2.2403772996658441E-11</v>
      </c>
      <c r="J6" s="14">
        <v>-1.4531122290308552E-7</v>
      </c>
      <c r="K6" s="14">
        <v>-2.5069590133047721E-4</v>
      </c>
      <c r="L6" s="14">
        <v>1.2992546288636319E-11</v>
      </c>
      <c r="N6" s="15">
        <f t="shared" si="0"/>
        <v>55842.172391132335</v>
      </c>
      <c r="O6" s="15">
        <f t="shared" si="1"/>
        <v>1408.8276088676648</v>
      </c>
      <c r="P6" s="14">
        <f t="shared" si="2"/>
        <v>232506.48969719469</v>
      </c>
      <c r="R6" s="14">
        <v>57251</v>
      </c>
      <c r="S6" s="14">
        <v>1</v>
      </c>
      <c r="T6" s="14">
        <v>2197841</v>
      </c>
      <c r="U6" s="14">
        <v>27.6</v>
      </c>
      <c r="V6" s="14">
        <v>9.3800000000000008</v>
      </c>
      <c r="W6" s="14">
        <v>66288900</v>
      </c>
    </row>
    <row r="7" spans="1:23" x14ac:dyDescent="0.3">
      <c r="A7" s="16" t="s">
        <v>18</v>
      </c>
      <c r="B7" s="18">
        <f>B9-B8</f>
        <v>230628676.56561813</v>
      </c>
      <c r="C7" s="18">
        <v>4</v>
      </c>
      <c r="D7" s="18">
        <f>B7/C7</f>
        <v>57657169.141404532</v>
      </c>
      <c r="E7" s="20">
        <f>D7/D8</f>
        <v>6.1467664231473016</v>
      </c>
      <c r="F7" s="21">
        <f>FDIST(E7,C7,C8)</f>
        <v>5.3256691289553279E-2</v>
      </c>
      <c r="H7" s="14" t="s">
        <v>3</v>
      </c>
      <c r="N7" s="15">
        <f t="shared" si="0"/>
        <v>55442.008342665504</v>
      </c>
      <c r="O7" s="15">
        <f t="shared" si="1"/>
        <v>832.99165733449627</v>
      </c>
      <c r="P7" s="14">
        <f t="shared" si="2"/>
        <v>331587.04307810962</v>
      </c>
      <c r="R7" s="14">
        <v>56275</v>
      </c>
      <c r="S7" s="14">
        <v>1</v>
      </c>
      <c r="T7" s="14">
        <v>2233921</v>
      </c>
      <c r="U7" s="14">
        <v>31.5</v>
      </c>
      <c r="V7" s="14">
        <v>9.39</v>
      </c>
      <c r="W7" s="14">
        <v>66630700</v>
      </c>
    </row>
    <row r="8" spans="1:23" x14ac:dyDescent="0.3">
      <c r="A8" s="16" t="s">
        <v>19</v>
      </c>
      <c r="B8" s="18">
        <f>SUMSQ($O$2:$O$10)</f>
        <v>37520325.434381865</v>
      </c>
      <c r="C8" s="18">
        <v>4</v>
      </c>
      <c r="D8" s="18">
        <f>B8/C8</f>
        <v>9380081.3585954662</v>
      </c>
      <c r="E8" s="18"/>
      <c r="F8" s="22"/>
      <c r="H8" s="14">
        <f t="shared" ref="H8:L12" si="3">$D$8*H2</f>
        <v>3120269863093.3853</v>
      </c>
      <c r="I8" s="14">
        <f t="shared" si="3"/>
        <v>-17695.693133486398</v>
      </c>
      <c r="J8" s="14">
        <f t="shared" si="3"/>
        <v>344361194.7386018</v>
      </c>
      <c r="K8" s="14">
        <f t="shared" si="3"/>
        <v>-431835341240.0835</v>
      </c>
      <c r="L8" s="14">
        <f t="shared" si="3"/>
        <v>14464.362474721263</v>
      </c>
      <c r="N8" s="15">
        <f t="shared" si="0"/>
        <v>40004.836423639324</v>
      </c>
      <c r="O8" s="15">
        <f t="shared" si="1"/>
        <v>1707.1635763606755</v>
      </c>
      <c r="P8" s="14">
        <f t="shared" si="2"/>
        <v>764176.54401391291</v>
      </c>
      <c r="R8" s="14">
        <v>41712</v>
      </c>
      <c r="S8" s="14">
        <v>1</v>
      </c>
      <c r="T8" s="14">
        <v>2002489</v>
      </c>
      <c r="U8" s="14">
        <v>37.5</v>
      </c>
      <c r="V8" s="14">
        <v>9.41</v>
      </c>
      <c r="W8" s="14">
        <v>66744100</v>
      </c>
    </row>
    <row r="9" spans="1:23" x14ac:dyDescent="0.3">
      <c r="A9" s="17" t="s">
        <v>20</v>
      </c>
      <c r="B9" s="19">
        <f>DEVSQ($R$2:$R$10)</f>
        <v>268149002</v>
      </c>
      <c r="C9" s="19">
        <v>8</v>
      </c>
      <c r="D9" s="19"/>
      <c r="E9" s="19"/>
      <c r="F9" s="23"/>
      <c r="H9" s="14">
        <f t="shared" si="3"/>
        <v>-17695.693131381675</v>
      </c>
      <c r="I9" s="14">
        <f t="shared" si="3"/>
        <v>5.7515706438037719E-4</v>
      </c>
      <c r="J9" s="14">
        <f t="shared" si="3"/>
        <v>4.4050026640946545</v>
      </c>
      <c r="K9" s="14">
        <f t="shared" si="3"/>
        <v>3227.8412495400748</v>
      </c>
      <c r="L9" s="14">
        <f t="shared" si="3"/>
        <v>-2.1014921344366674E-4</v>
      </c>
      <c r="N9" s="15">
        <f t="shared" si="0"/>
        <v>49539.441254497739</v>
      </c>
      <c r="O9" s="15">
        <f t="shared" si="1"/>
        <v>-5144.4412544977386</v>
      </c>
      <c r="P9" s="14">
        <f t="shared" si="2"/>
        <v>46944488.758242354</v>
      </c>
      <c r="R9" s="14">
        <v>44395</v>
      </c>
      <c r="S9" s="14">
        <v>1</v>
      </c>
      <c r="T9" s="14">
        <v>2176203</v>
      </c>
      <c r="U9" s="14">
        <v>33.700000000000003</v>
      </c>
      <c r="V9" s="14">
        <v>9.41</v>
      </c>
      <c r="W9" s="14">
        <v>66983500</v>
      </c>
    </row>
    <row r="10" spans="1:23" x14ac:dyDescent="0.3">
      <c r="H10" s="14">
        <f t="shared" si="3"/>
        <v>344361194.78883463</v>
      </c>
      <c r="I10" s="14">
        <f t="shared" si="3"/>
        <v>4.4050026635782675</v>
      </c>
      <c r="J10" s="14">
        <f t="shared" si="3"/>
        <v>210279.29130853864</v>
      </c>
      <c r="K10" s="14">
        <f t="shared" si="3"/>
        <v>-28685486.401900396</v>
      </c>
      <c r="L10" s="14">
        <f t="shared" si="3"/>
        <v>-1.3630310928124652</v>
      </c>
      <c r="N10" s="15">
        <f t="shared" si="0"/>
        <v>50026.838458180195</v>
      </c>
      <c r="O10" s="15">
        <f t="shared" si="1"/>
        <v>756.16154181980528</v>
      </c>
      <c r="P10" s="14">
        <f t="shared" si="2"/>
        <v>34817113.359910421</v>
      </c>
      <c r="R10" s="14">
        <v>50783</v>
      </c>
      <c r="S10" s="14">
        <v>1</v>
      </c>
      <c r="T10" s="14">
        <v>2270764</v>
      </c>
      <c r="U10" s="14">
        <v>37.5</v>
      </c>
      <c r="V10" s="14">
        <v>9.42</v>
      </c>
      <c r="W10" s="14">
        <v>67602800</v>
      </c>
    </row>
    <row r="11" spans="1:23" x14ac:dyDescent="0.3">
      <c r="B11" s="12" t="s">
        <v>21</v>
      </c>
      <c r="C11" s="24">
        <f>SQRT(D8)</f>
        <v>3062.6918484554508</v>
      </c>
      <c r="D11" s="12" t="s">
        <v>30</v>
      </c>
      <c r="E11" s="24">
        <f t="array" ref="E11">MDETERM($H$14:$K$17)</f>
        <v>4.1299327709941346E-4</v>
      </c>
      <c r="H11" s="14">
        <f t="shared" si="3"/>
        <v>-431835341234.1333</v>
      </c>
      <c r="I11" s="14">
        <f t="shared" si="3"/>
        <v>3227.841249797701</v>
      </c>
      <c r="J11" s="14">
        <f t="shared" si="3"/>
        <v>-28685486.394291759</v>
      </c>
      <c r="K11" s="14">
        <f t="shared" si="3"/>
        <v>62004277255.749947</v>
      </c>
      <c r="L11" s="14">
        <f t="shared" si="3"/>
        <v>-2351.5479508474577</v>
      </c>
    </row>
    <row r="12" spans="1:23" x14ac:dyDescent="0.3">
      <c r="B12" s="12" t="s">
        <v>22</v>
      </c>
      <c r="C12" s="25">
        <f>B7/B9</f>
        <v>0.86007657998152132</v>
      </c>
      <c r="D12" s="12" t="s">
        <v>32</v>
      </c>
      <c r="E12" s="24">
        <f>SUM($P$3:$P$10)/$B$8</f>
        <v>2.3752608398516308</v>
      </c>
      <c r="H12" s="14">
        <f t="shared" si="3"/>
        <v>14464.362473791034</v>
      </c>
      <c r="I12" s="14">
        <f t="shared" si="3"/>
        <v>-2.1014921344816032E-4</v>
      </c>
      <c r="J12" s="14">
        <f t="shared" si="3"/>
        <v>-1.363031093147943</v>
      </c>
      <c r="K12" s="14">
        <f t="shared" si="3"/>
        <v>-2351.5479507462978</v>
      </c>
      <c r="L12" s="14">
        <f t="shared" si="3"/>
        <v>1.2187114124272624E-4</v>
      </c>
    </row>
    <row r="13" spans="1:23" x14ac:dyDescent="0.3">
      <c r="B13" s="12" t="s">
        <v>23</v>
      </c>
      <c r="C13" s="25">
        <f>1-$D$8/($B$9/$C$8)</f>
        <v>0.86007657998152132</v>
      </c>
      <c r="D13" s="12" t="s">
        <v>34</v>
      </c>
      <c r="E13" s="13">
        <f>SQRT(B8/C8)</f>
        <v>3062.6918484554508</v>
      </c>
      <c r="H13" s="14" t="s">
        <v>4</v>
      </c>
    </row>
    <row r="14" spans="1:23" x14ac:dyDescent="0.3">
      <c r="D14" s="12" t="s">
        <v>35</v>
      </c>
      <c r="E14" s="6">
        <f>E13/(AVERAGE(R2:R366))</f>
        <v>5.8251921291868083E-2</v>
      </c>
      <c r="H14" s="14">
        <v>1</v>
      </c>
      <c r="I14" s="14">
        <f>H15</f>
        <v>0.45113021329705361</v>
      </c>
      <c r="J14" s="14">
        <f>H16</f>
        <v>0.53359067614699107</v>
      </c>
      <c r="K14" s="14">
        <f>H17</f>
        <v>0.63791356297653534</v>
      </c>
    </row>
    <row r="15" spans="1:23" x14ac:dyDescent="0.3">
      <c r="H15" s="14">
        <f>CORREL($T$2:$T$10,$U$2:$U$10)</f>
        <v>0.45113021329705361</v>
      </c>
      <c r="I15" s="14">
        <v>1</v>
      </c>
      <c r="J15" s="14">
        <f>I16</f>
        <v>0.96945355520281407</v>
      </c>
      <c r="K15" s="14">
        <f>I17</f>
        <v>0.95158778697712532</v>
      </c>
    </row>
    <row r="16" spans="1:23" x14ac:dyDescent="0.3">
      <c r="A16" s="1" t="s">
        <v>24</v>
      </c>
      <c r="H16" s="14">
        <f>CORREL($T$2:$T$10,$V$2:$V$10)</f>
        <v>0.53359067614699107</v>
      </c>
      <c r="I16" s="14">
        <f>CORREL($U$2:$U$10,$V$2:$V$10)</f>
        <v>0.96945355520281407</v>
      </c>
      <c r="J16" s="14">
        <v>1</v>
      </c>
      <c r="K16" s="14">
        <f>J17</f>
        <v>0.98534158752314593</v>
      </c>
    </row>
    <row r="17" spans="1:11" x14ac:dyDescent="0.3">
      <c r="A17" s="12"/>
      <c r="B17" s="12"/>
      <c r="C17" s="12"/>
      <c r="D17" s="12"/>
      <c r="E17" s="12"/>
      <c r="F17" s="12"/>
      <c r="H17" s="14">
        <f>CORREL($T$2:$T$10,$W$2:$W$10)</f>
        <v>0.63791356297653534</v>
      </c>
      <c r="I17" s="14">
        <f>CORREL($U$2:$U$10,$W$2:$W$10)</f>
        <v>0.95158778697712532</v>
      </c>
      <c r="J17" s="14">
        <f>CORREL($V$2:$V$10,$W$2:$W$10)</f>
        <v>0.98534158752314593</v>
      </c>
      <c r="K17" s="14">
        <v>1</v>
      </c>
    </row>
    <row r="18" spans="1:11" x14ac:dyDescent="0.3">
      <c r="A18" s="12" t="s">
        <v>25</v>
      </c>
      <c r="B18" s="12" t="s">
        <v>26</v>
      </c>
      <c r="C18" s="12" t="s">
        <v>27</v>
      </c>
      <c r="D18" s="12" t="s">
        <v>28</v>
      </c>
      <c r="E18" s="12" t="s">
        <v>15</v>
      </c>
      <c r="F18" s="12" t="s">
        <v>33</v>
      </c>
      <c r="H18" s="14" t="s">
        <v>5</v>
      </c>
    </row>
    <row r="19" spans="1:11" x14ac:dyDescent="0.3">
      <c r="A19" s="26" t="s">
        <v>29</v>
      </c>
      <c r="B19" s="24">
        <f t="array" ref="B19:B23">MMULT($H$2:$L$6,MMULT(TRANSPOSE($S$2:$W$10),$R$2:$R$10))</f>
        <v>-412831.13041687012</v>
      </c>
      <c r="C19" s="27">
        <f>SQRT(H$8)</f>
        <v>1766428.5615595626</v>
      </c>
      <c r="D19" s="24">
        <f t="shared" ref="D19:D23" si="4">B19/C19</f>
        <v>-0.23370949689150494</v>
      </c>
      <c r="E19" s="27">
        <f t="shared" ref="E19:E23" si="5">TDIST(ABS(D19),$C$8,1)*2</f>
        <v>0.82668426119842719</v>
      </c>
      <c r="F19" s="26"/>
      <c r="H19" s="14">
        <f t="array" ref="H19:K22">MINVERSE($H$14:$K$17)</f>
        <v>4.206867712905467</v>
      </c>
      <c r="I19" s="14">
        <v>3.6695947911376212</v>
      </c>
      <c r="J19" s="14">
        <v>9.7171666405777941</v>
      </c>
      <c r="K19" s="14">
        <v>-15.750287961965789</v>
      </c>
    </row>
    <row r="20" spans="1:11" x14ac:dyDescent="0.3">
      <c r="A20" s="26" t="s">
        <v>37</v>
      </c>
      <c r="B20" s="24">
        <v>7.0196531901956405E-2</v>
      </c>
      <c r="C20" s="27">
        <f>SQRT(I$9)</f>
        <v>2.3982432411671199E-2</v>
      </c>
      <c r="D20" s="24">
        <f t="shared" si="4"/>
        <v>2.9269980082501901</v>
      </c>
      <c r="E20" s="27">
        <f t="shared" si="5"/>
        <v>4.2942269542136723E-2</v>
      </c>
      <c r="F20" s="27">
        <f>H$19</f>
        <v>4.206867712905467</v>
      </c>
      <c r="H20" s="14">
        <v>3.6695947911376208</v>
      </c>
      <c r="I20" s="14">
        <v>19.951152014596008</v>
      </c>
      <c r="J20" s="14">
        <v>-9.8353368667364496</v>
      </c>
      <c r="K20" s="14">
        <v>-11.634990439013336</v>
      </c>
    </row>
    <row r="21" spans="1:11" x14ac:dyDescent="0.3">
      <c r="A21" s="26" t="s">
        <v>38</v>
      </c>
      <c r="B21" s="24">
        <v>-31.321218905970454</v>
      </c>
      <c r="C21" s="27">
        <f>SQRT(J$10)</f>
        <v>458.562200043286</v>
      </c>
      <c r="D21" s="24">
        <f t="shared" si="4"/>
        <v>-6.8303098037766491E-2</v>
      </c>
      <c r="E21" s="27">
        <f t="shared" si="5"/>
        <v>0.94882240547049523</v>
      </c>
      <c r="F21" s="27">
        <f>I$20</f>
        <v>19.951152014596008</v>
      </c>
      <c r="H21" s="14">
        <v>9.7171666405777994</v>
      </c>
      <c r="I21" s="14">
        <v>-9.8353368667364496</v>
      </c>
      <c r="J21" s="14">
        <v>76.82529190669473</v>
      </c>
      <c r="K21" s="14">
        <v>-72.538681039807116</v>
      </c>
    </row>
    <row r="22" spans="1:11" x14ac:dyDescent="0.3">
      <c r="A22" s="26" t="s">
        <v>39</v>
      </c>
      <c r="B22" s="24">
        <v>115631.39326190948</v>
      </c>
      <c r="C22" s="27">
        <f>SQRT(K$11)</f>
        <v>249006.58074787894</v>
      </c>
      <c r="D22" s="24">
        <f t="shared" si="4"/>
        <v>0.46437083274914392</v>
      </c>
      <c r="E22" s="27">
        <f t="shared" si="5"/>
        <v>0.66653098340386818</v>
      </c>
      <c r="F22" s="27">
        <f>J$21</f>
        <v>76.82529190669473</v>
      </c>
      <c r="H22" s="14">
        <v>-15.750287961965793</v>
      </c>
      <c r="I22" s="14">
        <v>-11.634990439013349</v>
      </c>
      <c r="J22" s="14">
        <v>-72.538681039807116</v>
      </c>
      <c r="K22" s="14">
        <v>93.594416247683412</v>
      </c>
    </row>
    <row r="23" spans="1:11" x14ac:dyDescent="0.3">
      <c r="A23" s="14" t="s">
        <v>40</v>
      </c>
      <c r="B23" s="28">
        <v>-1.1606249556393777E-2</v>
      </c>
      <c r="C23" s="28">
        <f>SQRT(L$12)</f>
        <v>1.1039526314236776E-2</v>
      </c>
      <c r="D23" s="28">
        <f t="shared" si="4"/>
        <v>-1.0513358296384641</v>
      </c>
      <c r="E23" s="28">
        <f t="shared" si="5"/>
        <v>0.35242284911857308</v>
      </c>
      <c r="F23" s="28">
        <f>K$22</f>
        <v>93.594416247683412</v>
      </c>
    </row>
    <row r="24" spans="1:11" x14ac:dyDescent="0.3">
      <c r="A24" s="14"/>
      <c r="B24" s="14"/>
      <c r="C24" s="14"/>
      <c r="D24" s="14"/>
      <c r="E24" s="14"/>
      <c r="F24" s="14"/>
    </row>
    <row r="25" spans="1:11" x14ac:dyDescent="0.3">
      <c r="A25" s="14" t="s">
        <v>42</v>
      </c>
      <c r="B25" s="14"/>
      <c r="C25" s="14"/>
      <c r="D25" s="14"/>
      <c r="E25" s="14"/>
      <c r="F25" s="14"/>
    </row>
    <row r="26" spans="1:11" x14ac:dyDescent="0.3">
      <c r="A26" s="14"/>
      <c r="B26" s="14"/>
      <c r="C26" s="14"/>
      <c r="D26" s="14"/>
      <c r="E26" s="14"/>
      <c r="F26" s="14"/>
    </row>
    <row r="27" spans="1:11" x14ac:dyDescent="0.3">
      <c r="A27" s="1" t="s">
        <v>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2035842-091d-4f51-bc80-24a1f4221256" xsi:nil="true"/>
    <lcf76f155ced4ddcb4097134ff3c332f xmlns="ead78542-8aaf-4795-b524-4258fc502a5a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B0DAB5F22542049871E0EF18A4EE385" ma:contentTypeVersion="14" ma:contentTypeDescription="Create a new document." ma:contentTypeScope="" ma:versionID="01c4dbdfc73f566413755ca019838c80">
  <xsd:schema xmlns:xsd="http://www.w3.org/2001/XMLSchema" xmlns:xs="http://www.w3.org/2001/XMLSchema" xmlns:p="http://schemas.microsoft.com/office/2006/metadata/properties" xmlns:ns2="a2035842-091d-4f51-bc80-24a1f4221256" xmlns:ns3="ead78542-8aaf-4795-b524-4258fc502a5a" targetNamespace="http://schemas.microsoft.com/office/2006/metadata/properties" ma:root="true" ma:fieldsID="550124cff85af48eb6fdcc9e54229955" ns2:_="" ns3:_="">
    <xsd:import namespace="a2035842-091d-4f51-bc80-24a1f4221256"/>
    <xsd:import namespace="ead78542-8aaf-4795-b524-4258fc502a5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035842-091d-4f51-bc80-24a1f422125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a4438c7-c29d-44f0-83ce-17416ee961e6}" ma:internalName="TaxCatchAll" ma:showField="CatchAllData" ma:web="a2035842-091d-4f51-bc80-24a1f42212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d78542-8aaf-4795-b524-4258fc502a5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3e82df8-f6af-445d-9b0b-5c4dfc7c59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A9EFFF-B14A-4895-9A5E-5D3CAF44C89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BFF520-4B8C-454E-946A-28B697A5EE84}">
  <ds:schemaRefs>
    <ds:schemaRef ds:uri="http://schemas.microsoft.com/office/2006/metadata/properties"/>
    <ds:schemaRef ds:uri="http://schemas.microsoft.com/office/infopath/2007/PartnerControls"/>
    <ds:schemaRef ds:uri="a2035842-091d-4f51-bc80-24a1f4221256"/>
    <ds:schemaRef ds:uri="ead78542-8aaf-4795-b524-4258fc502a5a"/>
  </ds:schemaRefs>
</ds:datastoreItem>
</file>

<file path=customXml/itemProps3.xml><?xml version="1.0" encoding="utf-8"?>
<ds:datastoreItem xmlns:ds="http://schemas.openxmlformats.org/officeDocument/2006/customXml" ds:itemID="{CC38E6C2-9009-4848-9DE2-3CD484D84A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035842-091d-4f51-bc80-24a1f4221256"/>
    <ds:schemaRef ds:uri="ead78542-8aaf-4795-b524-4258fc502a5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Regression Brick</vt:lpstr>
      <vt:lpstr>Data</vt:lpstr>
      <vt:lpstr>Regression</vt:lpstr>
    </vt:vector>
  </TitlesOfParts>
  <Company>Schneider Electric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Coolock Daily Baseline</dc:title>
  <dc:creator>Windows User</dc:creator>
  <cp:lastModifiedBy>Vinita Bhardwaj (Student)</cp:lastModifiedBy>
  <dcterms:created xsi:type="dcterms:W3CDTF">2016-02-01T22:54:19Z</dcterms:created>
  <dcterms:modified xsi:type="dcterms:W3CDTF">2024-11-06T23:33:47Z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0x010100DB0DAB5F22542049871E0EF18A4EE385</vt:lpwstr>
  </property>
  <property fmtid="{D5CDD505-2E9C-101B-9397-08002B2CF9AE}" pid="3" name="_ExtendedDescription">
    <vt:lpwstr/>
  </property>
  <property fmtid="{D5CDD505-2E9C-101B-9397-08002B2CF9AE}" pid="4" name="MediaServiceImageTags">
    <vt:lpwstr/>
  </property>
  <property fmtid="{D5CDD505-2E9C-101B-9397-08002B2CF9AE}" pid="5" name="MSIP_Label_23f93e5f-d3c2-49a7-ba94-15405423c204_Enabled">
    <vt:lpwstr>true</vt:lpwstr>
  </property>
  <property fmtid="{D5CDD505-2E9C-101B-9397-08002B2CF9AE}" pid="6" name="MSIP_Label_23f93e5f-d3c2-49a7-ba94-15405423c204_SetDate">
    <vt:lpwstr>2023-09-15T08:21:02Z</vt:lpwstr>
  </property>
  <property fmtid="{D5CDD505-2E9C-101B-9397-08002B2CF9AE}" pid="7" name="MSIP_Label_23f93e5f-d3c2-49a7-ba94-15405423c204_Method">
    <vt:lpwstr>Standard</vt:lpwstr>
  </property>
  <property fmtid="{D5CDD505-2E9C-101B-9397-08002B2CF9AE}" pid="8" name="MSIP_Label_23f93e5f-d3c2-49a7-ba94-15405423c204_Name">
    <vt:lpwstr>SE Internal</vt:lpwstr>
  </property>
  <property fmtid="{D5CDD505-2E9C-101B-9397-08002B2CF9AE}" pid="9" name="MSIP_Label_23f93e5f-d3c2-49a7-ba94-15405423c204_SiteId">
    <vt:lpwstr>6e51e1ad-c54b-4b39-b598-0ffe9ae68fef</vt:lpwstr>
  </property>
  <property fmtid="{D5CDD505-2E9C-101B-9397-08002B2CF9AE}" pid="10" name="MSIP_Label_23f93e5f-d3c2-49a7-ba94-15405423c204_ActionId">
    <vt:lpwstr>9b76ed4c-4e74-4111-a127-c2bfb4b64fa7</vt:lpwstr>
  </property>
  <property fmtid="{D5CDD505-2E9C-101B-9397-08002B2CF9AE}" pid="11" name="MSIP_Label_23f93e5f-d3c2-49a7-ba94-15405423c204_ContentBits">
    <vt:lpwstr>2</vt:lpwstr>
  </property>
</Properties>
</file>