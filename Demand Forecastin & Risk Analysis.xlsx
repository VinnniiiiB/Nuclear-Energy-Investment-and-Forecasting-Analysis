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3\Downloads\main project\"/>
    </mc:Choice>
  </mc:AlternateContent>
  <xr:revisionPtr revIDLastSave="0" documentId="13_ncr:1_{592FA489-A3DA-4821-9A2B-8171187BCACE}" xr6:coauthVersionLast="47" xr6:coauthVersionMax="47" xr10:uidLastSave="{00000000-0000-0000-0000-000000000000}"/>
  <bookViews>
    <workbookView xWindow="-110" yWindow="-110" windowWidth="19420" windowHeight="10300" activeTab="4" xr2:uid="{75FBE750-7DAE-4CA5-9001-6F8D184FDB20}"/>
  </bookViews>
  <sheets>
    <sheet name="Vinni " sheetId="4" r:id="rId1"/>
    <sheet name="Plot" sheetId="3" r:id="rId2"/>
    <sheet name="Regression &amp; Forecast" sheetId="1" r:id="rId3"/>
    <sheet name="Regression Vinni" sheetId="18" r:id="rId4"/>
    <sheet name="Regression Vinni Full " sheetId="19" r:id="rId5"/>
    <sheet name="Energy % for Uk" sheetId="20" r:id="rId6"/>
    <sheet name="Datas" sheetId="9" r:id="rId7"/>
    <sheet name="Scenario 1" sheetId="17" r:id="rId8"/>
    <sheet name="Scenario 2" sheetId="15" r:id="rId9"/>
    <sheet name="Scatterplot" sheetId="7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9" l="1" a="1"/>
  <c r="K4" i="19" s="1"/>
  <c r="G16" i="19" s="1"/>
  <c r="T16" i="18" a="1"/>
  <c r="T16" i="18" s="1"/>
  <c r="G6" i="18" s="1"/>
  <c r="BB56" i="9"/>
  <c r="BB55" i="9"/>
  <c r="BB54" i="9"/>
  <c r="BB53" i="9"/>
  <c r="BB52" i="9"/>
  <c r="BB51" i="9"/>
  <c r="BB50" i="9"/>
  <c r="BB49" i="9"/>
  <c r="AP44" i="9" s="1" a="1"/>
  <c r="AP44" i="9" s="1"/>
  <c r="BB48" i="9"/>
  <c r="BB47" i="9"/>
  <c r="BB46" i="9"/>
  <c r="BB45" i="9"/>
  <c r="BB44" i="9"/>
  <c r="BB43" i="9"/>
  <c r="BB42" i="9"/>
  <c r="BB41" i="9"/>
  <c r="BB40" i="9"/>
  <c r="BB39" i="9"/>
  <c r="BB38" i="9"/>
  <c r="BB37" i="9"/>
  <c r="BB36" i="9"/>
  <c r="BB35" i="9"/>
  <c r="BB34" i="9"/>
  <c r="BB33" i="9"/>
  <c r="BB32" i="9"/>
  <c r="BB31" i="9"/>
  <c r="BB30" i="9"/>
  <c r="BB29" i="9"/>
  <c r="BB28" i="9"/>
  <c r="BB27" i="9"/>
  <c r="BB26" i="9"/>
  <c r="BB25" i="9"/>
  <c r="BB24" i="9"/>
  <c r="BB23" i="9"/>
  <c r="BB22" i="9"/>
  <c r="BB21" i="9"/>
  <c r="BB20" i="9"/>
  <c r="BB19" i="9"/>
  <c r="BB18" i="9"/>
  <c r="BB17" i="9"/>
  <c r="BB16" i="9"/>
  <c r="BB15" i="9"/>
  <c r="BB14" i="9"/>
  <c r="BB13" i="9"/>
  <c r="BB12" i="9"/>
  <c r="BB11" i="9"/>
  <c r="BB10" i="9"/>
  <c r="BB9" i="9"/>
  <c r="BB8" i="9"/>
  <c r="BB7" i="9"/>
  <c r="BB6" i="9"/>
  <c r="BB5" i="9"/>
  <c r="BB4" i="9"/>
  <c r="BB3" i="9"/>
  <c r="AO5" i="9"/>
  <c r="AO4" i="9"/>
  <c r="AO3" i="9"/>
  <c r="AO2" i="9"/>
  <c r="H2" i="1"/>
  <c r="G2" i="1"/>
  <c r="H3" i="1"/>
  <c r="H4" i="1"/>
  <c r="H5" i="1"/>
  <c r="H6" i="1"/>
  <c r="H7" i="1"/>
  <c r="H8" i="1"/>
  <c r="H9" i="1"/>
  <c r="H10" i="1"/>
  <c r="G28" i="1"/>
  <c r="B11" i="1"/>
  <c r="C32" i="1" a="1"/>
  <c r="C32" i="1" s="1"/>
  <c r="A18" i="1" a="1"/>
  <c r="A18" i="1" s="1"/>
  <c r="F18" i="18"/>
  <c r="E18" i="18"/>
  <c r="D18" i="18"/>
  <c r="C18" i="18"/>
  <c r="G21" i="19" l="1"/>
  <c r="G20" i="19"/>
  <c r="G14" i="19"/>
  <c r="G8" i="19"/>
  <c r="G55" i="19"/>
  <c r="G49" i="19"/>
  <c r="G43" i="19"/>
  <c r="G37" i="19"/>
  <c r="G31" i="19"/>
  <c r="G25" i="19"/>
  <c r="G19" i="19"/>
  <c r="G2" i="19"/>
  <c r="G10" i="19"/>
  <c r="G4" i="19"/>
  <c r="G51" i="19"/>
  <c r="G45" i="19"/>
  <c r="G39" i="19"/>
  <c r="G33" i="19"/>
  <c r="G27" i="19"/>
  <c r="G15" i="19"/>
  <c r="G9" i="19"/>
  <c r="G3" i="19"/>
  <c r="G50" i="19"/>
  <c r="G44" i="19"/>
  <c r="G38" i="19"/>
  <c r="G32" i="19"/>
  <c r="G26" i="19"/>
  <c r="G13" i="19"/>
  <c r="G7" i="19"/>
  <c r="G54" i="19"/>
  <c r="G48" i="19"/>
  <c r="G42" i="19"/>
  <c r="G36" i="19"/>
  <c r="G30" i="19"/>
  <c r="G24" i="19"/>
  <c r="G18" i="19"/>
  <c r="G12" i="19"/>
  <c r="G6" i="19"/>
  <c r="G53" i="19"/>
  <c r="G47" i="19"/>
  <c r="G41" i="19"/>
  <c r="G35" i="19"/>
  <c r="G29" i="19"/>
  <c r="G23" i="19"/>
  <c r="G17" i="19"/>
  <c r="G11" i="19"/>
  <c r="G5" i="19"/>
  <c r="G52" i="19"/>
  <c r="G46" i="19"/>
  <c r="G40" i="19"/>
  <c r="G34" i="19"/>
  <c r="G28" i="19"/>
  <c r="G22" i="19"/>
  <c r="G11" i="18"/>
  <c r="G5" i="18"/>
  <c r="G10" i="18"/>
  <c r="G4" i="18"/>
  <c r="G9" i="18"/>
  <c r="G3" i="18"/>
  <c r="G8" i="18"/>
  <c r="G7" i="18"/>
  <c r="G2" i="18"/>
  <c r="J35" i="18"/>
  <c r="D19" i="18"/>
  <c r="C19" i="18"/>
  <c r="D20" i="18"/>
  <c r="D21" i="18"/>
  <c r="C20" i="18"/>
  <c r="D22" i="18"/>
  <c r="C21" i="18"/>
  <c r="F19" i="18"/>
  <c r="D23" i="18"/>
  <c r="C22" i="18"/>
  <c r="E19" i="18"/>
  <c r="D24" i="18"/>
  <c r="C23" i="18"/>
  <c r="D25" i="18"/>
  <c r="D26" i="18" s="1"/>
  <c r="F20" i="18"/>
  <c r="E20" i="18"/>
  <c r="F21" i="18"/>
  <c r="F22" i="18"/>
  <c r="E21" i="18"/>
  <c r="E22" i="18"/>
  <c r="E23" i="18"/>
  <c r="E24" i="18"/>
  <c r="E25" i="18" s="1"/>
  <c r="F23" i="18"/>
  <c r="F24" i="18"/>
  <c r="F25" i="18"/>
  <c r="F26" i="18"/>
  <c r="F27" i="18" s="1"/>
  <c r="F28" i="18"/>
  <c r="F29" i="18" s="1"/>
  <c r="E26" i="18"/>
  <c r="E27" i="18" s="1"/>
  <c r="E28" i="18"/>
  <c r="E29" i="18"/>
  <c r="D27" i="18"/>
  <c r="D28" i="18"/>
  <c r="D29" i="18"/>
  <c r="C24" i="18"/>
  <c r="F30" i="18"/>
  <c r="E30" i="18"/>
  <c r="D30" i="18"/>
  <c r="C25" i="18"/>
  <c r="F31" i="18"/>
  <c r="F32" i="18"/>
  <c r="F33" i="18"/>
  <c r="F34" i="18"/>
  <c r="E31" i="18"/>
  <c r="E32" i="18"/>
  <c r="E33" i="18"/>
  <c r="E34" i="18"/>
  <c r="E35" i="18" s="1"/>
  <c r="D31" i="18"/>
  <c r="D32" i="18"/>
  <c r="D33" i="18"/>
  <c r="D34" i="18"/>
  <c r="D35" i="18"/>
  <c r="D36" i="18"/>
  <c r="C26" i="18"/>
  <c r="C27" i="18"/>
  <c r="C28" i="18"/>
  <c r="F35" i="18"/>
  <c r="E36" i="18"/>
  <c r="D37" i="18"/>
  <c r="C29" i="18"/>
  <c r="F36" i="18"/>
  <c r="F37" i="18"/>
  <c r="F38" i="18"/>
  <c r="F39" i="18"/>
  <c r="F40" i="18"/>
  <c r="E37" i="18"/>
  <c r="E38" i="18"/>
  <c r="E39" i="18"/>
  <c r="E40" i="18" s="1"/>
  <c r="D38" i="18"/>
  <c r="D39" i="18"/>
  <c r="D40" i="18"/>
  <c r="C30" i="18"/>
  <c r="F41" i="18"/>
  <c r="E41" i="18"/>
  <c r="D41" i="18"/>
  <c r="C31" i="18"/>
  <c r="F42" i="18"/>
  <c r="F43" i="18"/>
  <c r="F44" i="18"/>
  <c r="E42" i="18"/>
  <c r="E43" i="18"/>
  <c r="E44" i="18" s="1"/>
  <c r="D42" i="18"/>
  <c r="D43" i="18"/>
  <c r="D44" i="18"/>
  <c r="C32" i="18"/>
  <c r="C33" i="18"/>
  <c r="C34" i="18"/>
  <c r="C35" i="18"/>
  <c r="C36" i="18"/>
  <c r="C37" i="18"/>
  <c r="C38" i="18"/>
  <c r="C39" i="18"/>
  <c r="C40" i="18"/>
  <c r="C41" i="18"/>
  <c r="C42" i="18"/>
  <c r="C43" i="18" s="1"/>
  <c r="C44" i="18" s="1"/>
  <c r="BA47" i="9" l="1"/>
  <c r="BA53" i="9"/>
  <c r="BA48" i="9"/>
  <c r="BA54" i="9"/>
  <c r="BA49" i="9"/>
  <c r="BA55" i="9"/>
  <c r="BA50" i="9"/>
  <c r="BA56" i="9"/>
  <c r="BA51" i="9"/>
  <c r="BA52" i="9"/>
  <c r="D17" i="4"/>
  <c r="G3" i="1" l="1"/>
  <c r="G4" i="1"/>
  <c r="G5" i="1"/>
  <c r="G6" i="1"/>
  <c r="G7" i="1"/>
  <c r="G8" i="1"/>
  <c r="G9" i="1"/>
  <c r="G10" i="1"/>
  <c r="G18" i="4"/>
  <c r="F17" i="4"/>
  <c r="F18" i="4"/>
  <c r="E17" i="4"/>
  <c r="E18" i="4"/>
  <c r="H17" i="4"/>
  <c r="H18" i="4"/>
  <c r="G17" i="4"/>
  <c r="D18" i="4" l="1"/>
  <c r="I31" i="1" l="1" a="1"/>
  <c r="I31" i="1" s="1"/>
  <c r="D24" i="1" a="1"/>
  <c r="D24" i="1" s="1"/>
  <c r="J22" i="1" a="1"/>
  <c r="J22" i="1" s="1"/>
  <c r="G22" i="1" a="1"/>
  <c r="G22" i="1" s="1"/>
  <c r="B26" i="1"/>
  <c r="B25" i="1"/>
  <c r="F12" i="3"/>
  <c r="E12" i="3"/>
  <c r="D12" i="3"/>
  <c r="C12" i="3"/>
  <c r="F11" i="3"/>
  <c r="E11" i="3"/>
  <c r="D11" i="3"/>
  <c r="C11" i="3"/>
  <c r="E12" i="1"/>
  <c r="D12" i="1"/>
  <c r="C12" i="1"/>
  <c r="F11" i="1"/>
  <c r="E11" i="1"/>
  <c r="D11" i="1"/>
  <c r="C11" i="1"/>
  <c r="F12" i="1"/>
  <c r="B11" i="3" l="1"/>
  <c r="B12" i="3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VinniB</author>
  </authors>
  <commentList>
    <comment ref="G1" authorId="0" shapeId="0" xr:uid="{72E4C428-4079-4CB7-A965-5A3929177921}">
      <text>
        <r>
          <rPr>
            <b/>
            <sz val="9"/>
            <color indexed="81"/>
            <rFont val="Tahoma"/>
            <family val="2"/>
          </rPr>
          <t>VinniB:</t>
        </r>
        <r>
          <rPr>
            <sz val="9"/>
            <color indexed="81"/>
            <rFont val="Tahoma"/>
            <family val="2"/>
          </rPr>
          <t xml:space="preserve">
Baseline mtlb, agr regression use krke ham lete the value to hame ye value mil rhe mtlb baseline or actual value same a rha hai analysis correct hai hmara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<sst xmlns="http://schemas.openxmlformats.org/spreadsheetml/2006/main" count="477" uniqueCount="131">
  <si>
    <t>TimeStamp</t>
  </si>
  <si>
    <t>Consumption</t>
  </si>
  <si>
    <t>GDP</t>
  </si>
  <si>
    <t>% renewables</t>
  </si>
  <si>
    <t>Mean temperature</t>
  </si>
  <si>
    <t>Population</t>
  </si>
  <si>
    <t>Calculated using FORECAST.ETS function</t>
  </si>
  <si>
    <t>Calculated using FORECAST.LINEAR function</t>
  </si>
  <si>
    <t>LINEAR FORECAST</t>
  </si>
  <si>
    <t>x' considered</t>
  </si>
  <si>
    <t>Mean temp</t>
  </si>
  <si>
    <t>Best variable to to considered for forecasting can be found out by running regressions using each variable individually and variable which gives the least CVRMSE and the highest R-sq can be chosen</t>
  </si>
  <si>
    <t>Can not consider % renewables for 2050 from LINEAR.ETS as outcome is unrealistic</t>
  </si>
  <si>
    <t>R-sq</t>
  </si>
  <si>
    <t>CVRMSE</t>
  </si>
  <si>
    <t>LINEST MATRIX</t>
  </si>
  <si>
    <t xml:space="preserve">ETS - Same data type </t>
  </si>
  <si>
    <t xml:space="preserve">baseline - energy forecast </t>
  </si>
  <si>
    <t>Energy</t>
  </si>
  <si>
    <t>Baslines</t>
  </si>
  <si>
    <t>GDP of the UK 1948-2023</t>
  </si>
  <si>
    <t>https://climate-change.data.gov.uk/data-sources/tile-sparkline-uk-annual-mean-temperature-1884-2022-created-2023-04-25</t>
  </si>
  <si>
    <t>Gross domestic product of the United Kingdom from 1948 to 2023 (in million GBP)</t>
  </si>
  <si>
    <t>% of UK energy mix</t>
  </si>
  <si>
    <t>Year</t>
  </si>
  <si>
    <t>Renewables</t>
  </si>
  <si>
    <t>Fossil Fuels</t>
  </si>
  <si>
    <t>United Kingdom</t>
  </si>
  <si>
    <t>Degrees Centigrade</t>
  </si>
  <si>
    <t>https://www.cladcodecking.co.uk/blog/post/renewable-energy-percentage-uk</t>
  </si>
  <si>
    <t>YEAR</t>
  </si>
  <si>
    <t>CONSUMPTION</t>
  </si>
  <si>
    <t>High Economic Growth</t>
  </si>
  <si>
    <t>Low Economic Growth</t>
  </si>
  <si>
    <t>Global Energy Crisis</t>
  </si>
  <si>
    <t>Moderate Growth</t>
  </si>
  <si>
    <t>Renewable Policy Focus</t>
  </si>
  <si>
    <t>k</t>
  </si>
  <si>
    <t>Aggressive Decarbonization</t>
  </si>
  <si>
    <t>Balanced Mix</t>
  </si>
  <si>
    <t>Limited Renewable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</si>
  <si>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</si>
  <si>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</si>
  <si>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</si>
  <si>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</si>
  <si>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</si>
  <si>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</si>
  <si>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</si>
  <si>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</si>
  <si>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</si>
  <si>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</si>
  <si>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</si>
  <si>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</si>
  <si>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</si>
  <si>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</si>
  <si>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</si>
  <si>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</si>
  <si>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</si>
  <si>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</si>
  <si>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</si>
  <si>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</si>
  <si>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</si>
  <si>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</si>
  <si>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</si>
  <si>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</si>
  <si>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</si>
  <si>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</si>
  <si>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</si>
  <si>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</si>
  <si>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</si>
  <si>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</si>
  <si>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</si>
  <si>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</si>
  <si>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</si>
  <si>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</si>
  <si>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</si>
  <si>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</si>
  <si>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</si>
  <si>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</si>
  <si>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</si>
  <si>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</si>
  <si>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</si>
  <si>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</si>
  <si>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</si>
  <si>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</si>
  <si>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</si>
  <si>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</si>
  <si>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</si>
  <si>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</si>
  <si>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</si>
  <si>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</si>
  <si>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</si>
  <si>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</si>
  <si>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</si>
  <si>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</si>
  <si>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</si>
  <si>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</si>
  <si>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</si>
  <si>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</si>
  <si>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</si>
  <si>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</si>
  <si>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</si>
  <si>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</si>
  <si>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</si>
  <si>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</si>
  <si>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</si>
  <si>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</si>
  <si>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</si>
  <si>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</si>
  <si>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</si>
  <si>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</si>
  <si>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</si>
  <si>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</si>
  <si>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</si>
  <si>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</si>
  <si>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</si>
  <si>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</si>
  <si>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Years</t>
  </si>
  <si>
    <t>ENERGY CONSUMPTION</t>
  </si>
  <si>
    <t>G</t>
  </si>
  <si>
    <t>P</t>
  </si>
  <si>
    <t>T</t>
  </si>
  <si>
    <t>C</t>
  </si>
  <si>
    <t>Coal (%)</t>
  </si>
  <si>
    <t>Natural Gas (%)</t>
  </si>
  <si>
    <t>Nuclear (%)</t>
  </si>
  <si>
    <t>Renewables (%)</t>
  </si>
  <si>
    <t>Other (%)</t>
  </si>
  <si>
    <t>Forecast</t>
  </si>
  <si>
    <t>Energy Forecast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</si>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</sst>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1"/>
      <color theme="0"/>
      <name val="Times New Roman"/>
      <family val="1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38B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9" fontId="0" fillId="2" borderId="9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7" borderId="0" xfId="0" applyFill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9" fillId="10" borderId="19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0" fillId="0" borderId="19" xfId="0" applyBorder="1"/>
    <xf numFmtId="0" fontId="11" fillId="0" borderId="19" xfId="0" applyFont="1" applyBorder="1" applyAlignment="1">
      <alignment horizontal="center"/>
    </xf>
    <xf numFmtId="0" fontId="12" fillId="0" borderId="19" xfId="0" applyFont="1" applyBorder="1" applyAlignment="1">
      <alignment vertical="center" wrapText="1"/>
    </xf>
    <xf numFmtId="3" fontId="12" fillId="0" borderId="15" xfId="0" applyNumberFormat="1" applyFont="1" applyBorder="1" applyAlignment="1">
      <alignment vertical="center" wrapText="1"/>
    </xf>
    <xf numFmtId="3" fontId="12" fillId="0" borderId="19" xfId="0" applyNumberFormat="1" applyFont="1" applyBorder="1" applyAlignment="1">
      <alignment vertical="center" wrapText="1"/>
    </xf>
    <xf numFmtId="0" fontId="7" fillId="0" borderId="0" xfId="8" applyAlignment="1">
      <alignment horizontal="left" vertical="center"/>
    </xf>
    <xf numFmtId="3" fontId="7" fillId="0" borderId="0" xfId="8" applyNumberFormat="1" applyAlignment="1">
      <alignment horizontal="right" vertical="center"/>
    </xf>
    <xf numFmtId="0" fontId="9" fillId="9" borderId="20" xfId="0" applyFont="1" applyFill="1" applyBorder="1" applyAlignment="1">
      <alignment horizontal="center" vertical="center" wrapText="1"/>
    </xf>
    <xf numFmtId="0" fontId="9" fillId="10" borderId="2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1" fontId="0" fillId="3" borderId="19" xfId="0" applyNumberForma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164" fontId="14" fillId="3" borderId="26" xfId="0" applyNumberFormat="1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6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13">
    <cellStyle name="Comma [0] 2" xfId="7" xr:uid="{9DF40E50-186B-4FE7-A646-549FA2919645}"/>
    <cellStyle name="Comma [0] 3" xfId="12" xr:uid="{1B4AFA00-DD16-4015-A90F-0BDE07549399}"/>
    <cellStyle name="Comma 2" xfId="6" xr:uid="{DCC88335-B6C1-46F6-B79A-EA7E51C1774F}"/>
    <cellStyle name="Comma 3" xfId="11" xr:uid="{2033F8DF-AF4A-45A4-82B3-9D88CAFA3900}"/>
    <cellStyle name="Currency [0] 2" xfId="5" xr:uid="{526467B9-0D34-49D6-8AF9-B47AFC5AB1C3}"/>
    <cellStyle name="Currency [0] 3" xfId="10" xr:uid="{A9572EC8-D84E-4C1A-B1BF-EDB7E788DAEC}"/>
    <cellStyle name="Currency 2" xfId="4" xr:uid="{91010401-0E57-4216-9461-AE0A172E33D6}"/>
    <cellStyle name="Currency 3" xfId="9" xr:uid="{534ACF1B-8221-4AFD-9449-9EB2101EF5D0}"/>
    <cellStyle name="Normal" xfId="0" builtinId="0"/>
    <cellStyle name="Normal 13 2" xfId="8" xr:uid="{083AAE26-E367-4538-A3FA-DB3162684A90}"/>
    <cellStyle name="Normal 2" xfId="2" xr:uid="{B8426554-F445-4A1D-879B-6ADB13DF09BB}"/>
    <cellStyle name="Percent" xfId="1" builtinId="5"/>
    <cellStyle name="Percent 2" xfId="3" xr:uid="{4AE2CA32-6C21-49D3-AF78-68EF7DF74AD8}"/>
  </cellStyles>
  <dxfs count="0"/>
  <tableStyles count="0" defaultTableStyle="TableStyleMedium2" defaultPivotStyle="PivotStyleLight16"/>
  <colors>
    <mruColors>
      <color rgb="FFFFE38B"/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[1]Plot!$B$1</c:f>
              <c:strCache>
                <c:ptCount val="1"/>
                <c:pt idx="0">
                  <c:v>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cat>
          <c:val>
            <c:numRef>
              <c:f>[1]Plot!$B$2:$B$12</c:f>
              <c:numCache>
                <c:formatCode>General</c:formatCode>
                <c:ptCount val="11"/>
                <c:pt idx="0">
                  <c:v>54618</c:v>
                </c:pt>
                <c:pt idx="1">
                  <c:v>54617</c:v>
                </c:pt>
                <c:pt idx="2">
                  <c:v>56086</c:v>
                </c:pt>
                <c:pt idx="3">
                  <c:v>57453</c:v>
                </c:pt>
                <c:pt idx="4">
                  <c:v>57251</c:v>
                </c:pt>
                <c:pt idx="5">
                  <c:v>56275</c:v>
                </c:pt>
                <c:pt idx="6">
                  <c:v>41712</c:v>
                </c:pt>
                <c:pt idx="7">
                  <c:v>44395</c:v>
                </c:pt>
                <c:pt idx="8">
                  <c:v>50783</c:v>
                </c:pt>
                <c:pt idx="9">
                  <c:v>56139.480227120621</c:v>
                </c:pt>
                <c:pt idx="10">
                  <c:v>63449.844641313532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4-4A74-8B29-49F4274C0A43}"/>
            </c:ext>
          </c:extLst>
        </c:ser>
        <c:ser>
          <c:idx val="1"/>
          <c:order val="1"/>
          <c:tx>
            <c:strRef>
              <c:f>[1]Plot!$F$1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cat>
          <c:val>
            <c:numRef>
              <c:f>[1]Plot!$G$2:$G$12</c:f>
              <c:numCache>
                <c:formatCode>General</c:formatCode>
                <c:ptCount val="11"/>
                <c:pt idx="0">
                  <c:v>64619.5</c:v>
                </c:pt>
                <c:pt idx="1">
                  <c:v>65088.1</c:v>
                </c:pt>
                <c:pt idx="2">
                  <c:v>65607.100000000006</c:v>
                </c:pt>
                <c:pt idx="3">
                  <c:v>65966</c:v>
                </c:pt>
                <c:pt idx="4">
                  <c:v>66288.899999999994</c:v>
                </c:pt>
                <c:pt idx="5">
                  <c:v>66630.7</c:v>
                </c:pt>
                <c:pt idx="6">
                  <c:v>66744.100000000006</c:v>
                </c:pt>
                <c:pt idx="7">
                  <c:v>66983.5</c:v>
                </c:pt>
                <c:pt idx="8">
                  <c:v>67602.8</c:v>
                </c:pt>
                <c:pt idx="9">
                  <c:v>69976.505774722726</c:v>
                </c:pt>
                <c:pt idx="10">
                  <c:v>77176.840783115986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4-4A74-8B29-49F4274C0A43}"/>
            </c:ext>
          </c:extLst>
        </c:ser>
        <c:ser>
          <c:idx val="2"/>
          <c:order val="2"/>
          <c:tx>
            <c:strRef>
              <c:f>[1]Plot!$C$1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cat>
          <c:val>
            <c:numRef>
              <c:f>[1]Plot!$H$2:$H$12</c:f>
              <c:numCache>
                <c:formatCode>General</c:formatCode>
                <c:ptCount val="11"/>
                <c:pt idx="0">
                  <c:v>20265.66</c:v>
                </c:pt>
                <c:pt idx="1">
                  <c:v>20715.61</c:v>
                </c:pt>
                <c:pt idx="2">
                  <c:v>21113.57</c:v>
                </c:pt>
                <c:pt idx="3">
                  <c:v>21674.15</c:v>
                </c:pt>
                <c:pt idx="4">
                  <c:v>21978.41</c:v>
                </c:pt>
                <c:pt idx="5">
                  <c:v>22339.21</c:v>
                </c:pt>
                <c:pt idx="6">
                  <c:v>20024.89</c:v>
                </c:pt>
                <c:pt idx="7">
                  <c:v>21762.03</c:v>
                </c:pt>
                <c:pt idx="8">
                  <c:v>22707.64</c:v>
                </c:pt>
                <c:pt idx="9">
                  <c:v>23364.511683898447</c:v>
                </c:pt>
                <c:pt idx="10">
                  <c:v>27399.690894983942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4-4A74-8B29-49F4274C0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80576"/>
        <c:axId val="372282016"/>
      </c:lineChart>
      <c:catAx>
        <c:axId val="3722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82016"/>
        <c:crosses val="autoZero"/>
        <c:auto val="1"/>
        <c:lblAlgn val="ctr"/>
        <c:lblOffset val="100"/>
        <c:noMultiLvlLbl val="0"/>
      </c:catAx>
      <c:valAx>
        <c:axId val="3722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xVal>
          <c:yVal>
            <c:numRef>
              <c:f>[1]Plot!$G$2:$G$12</c:f>
              <c:numCache>
                <c:formatCode>General</c:formatCode>
                <c:ptCount val="11"/>
                <c:pt idx="0">
                  <c:v>64619.5</c:v>
                </c:pt>
                <c:pt idx="1">
                  <c:v>65088.1</c:v>
                </c:pt>
                <c:pt idx="2">
                  <c:v>65607.100000000006</c:v>
                </c:pt>
                <c:pt idx="3">
                  <c:v>65966</c:v>
                </c:pt>
                <c:pt idx="4">
                  <c:v>66288.899999999994</c:v>
                </c:pt>
                <c:pt idx="5">
                  <c:v>66630.7</c:v>
                </c:pt>
                <c:pt idx="6">
                  <c:v>66744.100000000006</c:v>
                </c:pt>
                <c:pt idx="7">
                  <c:v>66983.5</c:v>
                </c:pt>
                <c:pt idx="8">
                  <c:v>67602.8</c:v>
                </c:pt>
                <c:pt idx="9">
                  <c:v>69976.505774722726</c:v>
                </c:pt>
                <c:pt idx="10">
                  <c:v>77176.840783115986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B-4B59-8E5F-DFD4C84A20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xVal>
          <c:yVal>
            <c:numRef>
              <c:f>[1]Plot!$G$2:$G$12</c:f>
              <c:numCache>
                <c:formatCode>General</c:formatCode>
                <c:ptCount val="11"/>
                <c:pt idx="0">
                  <c:v>64619.5</c:v>
                </c:pt>
                <c:pt idx="1">
                  <c:v>65088.1</c:v>
                </c:pt>
                <c:pt idx="2">
                  <c:v>65607.100000000006</c:v>
                </c:pt>
                <c:pt idx="3">
                  <c:v>65966</c:v>
                </c:pt>
                <c:pt idx="4">
                  <c:v>66288.899999999994</c:v>
                </c:pt>
                <c:pt idx="5">
                  <c:v>66630.7</c:v>
                </c:pt>
                <c:pt idx="6">
                  <c:v>66744.100000000006</c:v>
                </c:pt>
                <c:pt idx="7">
                  <c:v>66983.5</c:v>
                </c:pt>
                <c:pt idx="8">
                  <c:v>67602.8</c:v>
                </c:pt>
                <c:pt idx="9">
                  <c:v>69976.505774722726</c:v>
                </c:pt>
                <c:pt idx="10">
                  <c:v>77176.840783115986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0B-4B59-8E5F-DFD4C84A207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xVal>
          <c:yVal>
            <c:numRef>
              <c:f>[1]Plot!$H$2:$H$12</c:f>
              <c:numCache>
                <c:formatCode>General</c:formatCode>
                <c:ptCount val="11"/>
                <c:pt idx="0">
                  <c:v>20265.66</c:v>
                </c:pt>
                <c:pt idx="1">
                  <c:v>20715.61</c:v>
                </c:pt>
                <c:pt idx="2">
                  <c:v>21113.57</c:v>
                </c:pt>
                <c:pt idx="3">
                  <c:v>21674.15</c:v>
                </c:pt>
                <c:pt idx="4">
                  <c:v>21978.41</c:v>
                </c:pt>
                <c:pt idx="5">
                  <c:v>22339.21</c:v>
                </c:pt>
                <c:pt idx="6">
                  <c:v>20024.89</c:v>
                </c:pt>
                <c:pt idx="7">
                  <c:v>21762.03</c:v>
                </c:pt>
                <c:pt idx="8">
                  <c:v>22707.64</c:v>
                </c:pt>
                <c:pt idx="9">
                  <c:v>23364.511683898447</c:v>
                </c:pt>
                <c:pt idx="10">
                  <c:v>27399.690894983942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0B-4B59-8E5F-DFD4C84A2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35240"/>
        <c:axId val="600933440"/>
      </c:scatterChart>
      <c:valAx>
        <c:axId val="60093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33440"/>
        <c:crosses val="autoZero"/>
        <c:crossBetween val="midCat"/>
      </c:valAx>
      <c:valAx>
        <c:axId val="6009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35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Assessment of Regression Factors Through Baseline Correlation (Renewable, GDP, Population &amp; Temperature)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3532944067328"/>
          <c:y val="0.18405437493816293"/>
          <c:w val="0.86045591173765235"/>
          <c:h val="0.6238084978415617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E8-48B1-A5BE-1162FDCCA0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 Vinni'!$B$2:$B$11</c:f>
              <c:numCache>
                <c:formatCode>General</c:formatCode>
                <c:ptCount val="10"/>
                <c:pt idx="0">
                  <c:v>1636.3409999999999</c:v>
                </c:pt>
                <c:pt idx="1">
                  <c:v>1652.623</c:v>
                </c:pt>
                <c:pt idx="2">
                  <c:v>1651.46</c:v>
                </c:pt>
                <c:pt idx="3">
                  <c:v>1645.6450000000002</c:v>
                </c:pt>
                <c:pt idx="4">
                  <c:v>1651.46</c:v>
                </c:pt>
                <c:pt idx="5">
                  <c:v>1651.46</c:v>
                </c:pt>
                <c:pt idx="6">
                  <c:v>1418.8600000000001</c:v>
                </c:pt>
                <c:pt idx="7">
                  <c:v>1686.3500000000001</c:v>
                </c:pt>
                <c:pt idx="8">
                  <c:v>1463.0540000000001</c:v>
                </c:pt>
                <c:pt idx="9">
                  <c:v>1453.75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8-48B1-A5BE-1162FDCCA0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8054303"/>
        <c:axId val="238051423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'Regression Vinni'!$G$2:$G$11</c:f>
              <c:numCache>
                <c:formatCode>General</c:formatCode>
                <c:ptCount val="10"/>
                <c:pt idx="0">
                  <c:v>1631.1028683019831</c:v>
                </c:pt>
                <c:pt idx="1">
                  <c:v>1642.877794925138</c:v>
                </c:pt>
                <c:pt idx="2">
                  <c:v>1655.2479219972811</c:v>
                </c:pt>
                <c:pt idx="3">
                  <c:v>1692.424452248677</c:v>
                </c:pt>
                <c:pt idx="4">
                  <c:v>1651.343299128639</c:v>
                </c:pt>
                <c:pt idx="5">
                  <c:v>1630.5531922479349</c:v>
                </c:pt>
                <c:pt idx="6">
                  <c:v>1450.8132767576462</c:v>
                </c:pt>
                <c:pt idx="7">
                  <c:v>1579.9123855830403</c:v>
                </c:pt>
                <c:pt idx="8">
                  <c:v>1545.5629523376192</c:v>
                </c:pt>
                <c:pt idx="9">
                  <c:v>1431.1648564719362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8-48B1-A5BE-1162FDCCA0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38054303"/>
        <c:axId val="238051423"/>
      </c:scatterChart>
      <c:catAx>
        <c:axId val="238054303"/>
        <c:scaling>
          <c:orientation val="minMax"/>
        </c:scaling>
        <c:delete val="1"/>
        <c:axPos val="b"/>
        <c:majorTickMark val="none"/>
        <c:minorTickMark val="none"/>
        <c:tickLblPos val="nextTo"/>
        <c:crossAx val="238051423"/>
        <c:crosses val="autoZero"/>
        <c:auto val="1"/>
        <c:lblAlgn val="ctr"/>
        <c:lblOffset val="100"/>
        <c:noMultiLvlLbl val="0"/>
      </c:catAx>
      <c:valAx>
        <c:axId val="238051423"/>
        <c:scaling>
          <c:orientation val="minMax"/>
          <c:max val="20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Values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5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Forecasted Value of Rising Temperature and % Renewables (2024-2050)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 Vinni'!$D$17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Vinni'!$D$18:$D$44</c:f>
              <c:numCache>
                <c:formatCode>General</c:formatCode>
                <c:ptCount val="27"/>
                <c:pt idx="0">
                  <c:v>44.593108111476404</c:v>
                </c:pt>
                <c:pt idx="1">
                  <c:v>47.407475789337404</c:v>
                </c:pt>
                <c:pt idx="2">
                  <c:v>50.64081391763456</c:v>
                </c:pt>
                <c:pt idx="3">
                  <c:v>53.44671206502278</c:v>
                </c:pt>
                <c:pt idx="4">
                  <c:v>54.842877503133458</c:v>
                </c:pt>
                <c:pt idx="5">
                  <c:v>58.293473328829876</c:v>
                </c:pt>
                <c:pt idx="6">
                  <c:v>60.961812117745659</c:v>
                </c:pt>
                <c:pt idx="7">
                  <c:v>64.392948225053516</c:v>
                </c:pt>
                <c:pt idx="8">
                  <c:v>67.662358797800522</c:v>
                </c:pt>
                <c:pt idx="9">
                  <c:v>70.664749288240927</c:v>
                </c:pt>
                <c:pt idx="10">
                  <c:v>73.138438349890535</c:v>
                </c:pt>
                <c:pt idx="11">
                  <c:v>76.129063726351362</c:v>
                </c:pt>
                <c:pt idx="12">
                  <c:v>79.023559756129089</c:v>
                </c:pt>
                <c:pt idx="13">
                  <c:v>81.982468331728541</c:v>
                </c:pt>
                <c:pt idx="14">
                  <c:v>84.997303858976906</c:v>
                </c:pt>
                <c:pt idx="15">
                  <c:v>87.971143474341346</c:v>
                </c:pt>
                <c:pt idx="16">
                  <c:v>90.920209315663158</c:v>
                </c:pt>
                <c:pt idx="17">
                  <c:v>93.760624880385848</c:v>
                </c:pt>
                <c:pt idx="18">
                  <c:v>96.685999734260307</c:v>
                </c:pt>
                <c:pt idx="19">
                  <c:v>99.609641438106422</c:v>
                </c:pt>
                <c:pt idx="20">
                  <c:v>102.55495248256432</c:v>
                </c:pt>
                <c:pt idx="21">
                  <c:v>105.49184753761273</c:v>
                </c:pt>
                <c:pt idx="22">
                  <c:v>108.42659003949022</c:v>
                </c:pt>
                <c:pt idx="23">
                  <c:v>111.35559882653331</c:v>
                </c:pt>
                <c:pt idx="24">
                  <c:v>114.25936373107766</c:v>
                </c:pt>
                <c:pt idx="25">
                  <c:v>117.18683177479741</c:v>
                </c:pt>
                <c:pt idx="26">
                  <c:v>120.11173101122236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C-44C7-BD7D-99D232C1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00607"/>
        <c:axId val="234811167"/>
      </c:barChart>
      <c:lineChart>
        <c:grouping val="standard"/>
        <c:varyColors val="0"/>
        <c:ser>
          <c:idx val="1"/>
          <c:order val="1"/>
          <c:tx>
            <c:strRef>
              <c:f>'Regression Vinni'!$E$17</c:f>
              <c:strCache>
                <c:ptCount val="1"/>
                <c:pt idx="0">
                  <c:v>Mean 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Vinni'!$E$18:$E$44</c:f>
              <c:numCache>
                <c:formatCode>General</c:formatCode>
                <c:ptCount val="27"/>
                <c:pt idx="0">
                  <c:v>9.4433134060112973</c:v>
                </c:pt>
                <c:pt idx="1">
                  <c:v>9.4549434653306736</c:v>
                </c:pt>
                <c:pt idx="2">
                  <c:v>9.4652494294224052</c:v>
                </c:pt>
                <c:pt idx="3">
                  <c:v>9.474182104262729</c:v>
                </c:pt>
                <c:pt idx="4">
                  <c:v>9.4836636099044416</c:v>
                </c:pt>
                <c:pt idx="5">
                  <c:v>9.4938734134918512</c:v>
                </c:pt>
                <c:pt idx="6">
                  <c:v>9.5039097715312071</c:v>
                </c:pt>
                <c:pt idx="7">
                  <c:v>9.5144664808540238</c:v>
                </c:pt>
                <c:pt idx="8">
                  <c:v>9.5248521683708454</c:v>
                </c:pt>
                <c:pt idx="9">
                  <c:v>9.535197319853653</c:v>
                </c:pt>
                <c:pt idx="10">
                  <c:v>9.5452392547603093</c:v>
                </c:pt>
                <c:pt idx="11">
                  <c:v>9.5552854815223824</c:v>
                </c:pt>
                <c:pt idx="12">
                  <c:v>9.5653733349105519</c:v>
                </c:pt>
                <c:pt idx="13">
                  <c:v>9.5755865265535594</c:v>
                </c:pt>
                <c:pt idx="14">
                  <c:v>9.5858156410805879</c:v>
                </c:pt>
                <c:pt idx="15">
                  <c:v>9.5960268538401632</c:v>
                </c:pt>
                <c:pt idx="16">
                  <c:v>9.6062354397504723</c:v>
                </c:pt>
                <c:pt idx="17">
                  <c:v>9.6164034874381432</c:v>
                </c:pt>
                <c:pt idx="18">
                  <c:v>9.6264877371717663</c:v>
                </c:pt>
                <c:pt idx="19">
                  <c:v>9.6365809697177536</c:v>
                </c:pt>
                <c:pt idx="20">
                  <c:v>9.6466740262501123</c:v>
                </c:pt>
                <c:pt idx="21">
                  <c:v>9.6567679973200065</c:v>
                </c:pt>
                <c:pt idx="22">
                  <c:v>9.6668618741925432</c:v>
                </c:pt>
                <c:pt idx="23">
                  <c:v>9.6769557528941466</c:v>
                </c:pt>
                <c:pt idx="24">
                  <c:v>9.6870496315957357</c:v>
                </c:pt>
                <c:pt idx="25">
                  <c:v>9.6971561128181634</c:v>
                </c:pt>
                <c:pt idx="26">
                  <c:v>9.7072517263691136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C-44C7-BD7D-99D232C1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67887"/>
        <c:axId val="479367407"/>
      </c:lineChart>
      <c:catAx>
        <c:axId val="2348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11167"/>
        <c:crosses val="autoZero"/>
        <c:auto val="1"/>
        <c:lblAlgn val="ctr"/>
        <c:lblOffset val="100"/>
        <c:noMultiLvlLbl val="0"/>
      </c:catAx>
      <c:valAx>
        <c:axId val="23481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Renewable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00607"/>
        <c:crosses val="autoZero"/>
        <c:crossBetween val="between"/>
      </c:valAx>
      <c:valAx>
        <c:axId val="4793674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67887"/>
        <c:crosses val="max"/>
        <c:crossBetween val="between"/>
      </c:valAx>
      <c:catAx>
        <c:axId val="479367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9367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Forecasted Value of Population &amp; GDP </a:t>
            </a:r>
          </a:p>
          <a:p>
            <a:pPr>
              <a:defRPr/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(2024-2050)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 Vinni'!$C$17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Vinni'!$C$18:$C$44</c:f>
              <c:numCache>
                <c:formatCode>General</c:formatCode>
                <c:ptCount val="27"/>
                <c:pt idx="0">
                  <c:v>2259026.8294899813</c:v>
                </c:pt>
                <c:pt idx="1">
                  <c:v>2257413.6712450972</c:v>
                </c:pt>
                <c:pt idx="2">
                  <c:v>2270828.7188366372</c:v>
                </c:pt>
                <c:pt idx="3">
                  <c:v>2310058.8761302433</c:v>
                </c:pt>
                <c:pt idx="4">
                  <c:v>2330021.0705634141</c:v>
                </c:pt>
                <c:pt idx="5">
                  <c:v>2355626.4947155444</c:v>
                </c:pt>
                <c:pt idx="6">
                  <c:v>2385783.4037701851</c:v>
                </c:pt>
                <c:pt idx="7">
                  <c:v>2402284.471884415</c:v>
                </c:pt>
                <c:pt idx="8">
                  <c:v>2418722.8764585201</c:v>
                </c:pt>
                <c:pt idx="9">
                  <c:v>2437400.9857853861</c:v>
                </c:pt>
                <c:pt idx="10">
                  <c:v>2459867.6684834952</c:v>
                </c:pt>
                <c:pt idx="11">
                  <c:v>2486579.1733887456</c:v>
                </c:pt>
                <c:pt idx="12">
                  <c:v>2508815.4746794002</c:v>
                </c:pt>
                <c:pt idx="13">
                  <c:v>2528142.3636535564</c:v>
                </c:pt>
                <c:pt idx="14">
                  <c:v>2549875.2965458962</c:v>
                </c:pt>
                <c:pt idx="15">
                  <c:v>2569438.0091696549</c:v>
                </c:pt>
                <c:pt idx="16">
                  <c:v>2590265.5053677312</c:v>
                </c:pt>
                <c:pt idx="17">
                  <c:v>2611770.6479255776</c:v>
                </c:pt>
                <c:pt idx="18">
                  <c:v>2634767.6139394371</c:v>
                </c:pt>
                <c:pt idx="19">
                  <c:v>2656217.4951435761</c:v>
                </c:pt>
                <c:pt idx="20">
                  <c:v>2677562.1892195609</c:v>
                </c:pt>
                <c:pt idx="21">
                  <c:v>2698692.2417721618</c:v>
                </c:pt>
                <c:pt idx="22">
                  <c:v>2719936.4905246641</c:v>
                </c:pt>
                <c:pt idx="23">
                  <c:v>2741342.787146952</c:v>
                </c:pt>
                <c:pt idx="24">
                  <c:v>2762786.9889433351</c:v>
                </c:pt>
                <c:pt idx="25">
                  <c:v>2784686.7164923865</c:v>
                </c:pt>
                <c:pt idx="26">
                  <c:v>2806178.9251239477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3-4286-ACF3-AAAF16CA7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346943"/>
        <c:axId val="524345503"/>
      </c:barChart>
      <c:lineChart>
        <c:grouping val="standard"/>
        <c:varyColors val="0"/>
        <c:ser>
          <c:idx val="1"/>
          <c:order val="1"/>
          <c:tx>
            <c:strRef>
              <c:f>'Regression Vinni'!$F$17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Vinni'!$F$18:$F$44</c:f>
              <c:numCache>
                <c:formatCode>0</c:formatCode>
                <c:ptCount val="27"/>
                <c:pt idx="0">
                  <c:v>68919816.388827458</c:v>
                </c:pt>
                <c:pt idx="1">
                  <c:v>69574599.097163051</c:v>
                </c:pt>
                <c:pt idx="2">
                  <c:v>70229381.805486262</c:v>
                </c:pt>
                <c:pt idx="3">
                  <c:v>70884164.513825551</c:v>
                </c:pt>
                <c:pt idx="4">
                  <c:v>71538947.222192392</c:v>
                </c:pt>
                <c:pt idx="5">
                  <c:v>72193729.930591002</c:v>
                </c:pt>
                <c:pt idx="6">
                  <c:v>72820293.806504458</c:v>
                </c:pt>
                <c:pt idx="7">
                  <c:v>73483656.603638738</c:v>
                </c:pt>
                <c:pt idx="8">
                  <c:v>74135572.899172395</c:v>
                </c:pt>
                <c:pt idx="9">
                  <c:v>74788638.436272442</c:v>
                </c:pt>
                <c:pt idx="10">
                  <c:v>75438930.60088104</c:v>
                </c:pt>
                <c:pt idx="11">
                  <c:v>76088034.404763713</c:v>
                </c:pt>
                <c:pt idx="12">
                  <c:v>76737458.130913645</c:v>
                </c:pt>
                <c:pt idx="13">
                  <c:v>77387588.561584815</c:v>
                </c:pt>
                <c:pt idx="14">
                  <c:v>78038999.510746077</c:v>
                </c:pt>
                <c:pt idx="15">
                  <c:v>78689544.032428682</c:v>
                </c:pt>
                <c:pt idx="16">
                  <c:v>79340941.193843588</c:v>
                </c:pt>
                <c:pt idx="17">
                  <c:v>79991617.959455326</c:v>
                </c:pt>
                <c:pt idx="18">
                  <c:v>80642053.778735131</c:v>
                </c:pt>
                <c:pt idx="19">
                  <c:v>81292518.415733859</c:v>
                </c:pt>
                <c:pt idx="20">
                  <c:v>81943036.154898643</c:v>
                </c:pt>
                <c:pt idx="21">
                  <c:v>82593732.223824337</c:v>
                </c:pt>
                <c:pt idx="22">
                  <c:v>83244755.737608939</c:v>
                </c:pt>
                <c:pt idx="23">
                  <c:v>83895456.374800712</c:v>
                </c:pt>
                <c:pt idx="24">
                  <c:v>84546138.398099497</c:v>
                </c:pt>
                <c:pt idx="25">
                  <c:v>85196818.208233118</c:v>
                </c:pt>
                <c:pt idx="26">
                  <c:v>85847485.527802348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3-4286-ACF3-AAAF16CA7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024335"/>
        <c:axId val="227022895"/>
      </c:lineChart>
      <c:catAx>
        <c:axId val="2270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22895"/>
        <c:crosses val="autoZero"/>
        <c:auto val="1"/>
        <c:lblAlgn val="ctr"/>
        <c:lblOffset val="100"/>
        <c:noMultiLvlLbl val="0"/>
      </c:catAx>
      <c:valAx>
        <c:axId val="2270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24335"/>
        <c:crosses val="autoZero"/>
        <c:crossBetween val="between"/>
      </c:valAx>
      <c:valAx>
        <c:axId val="52434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46943"/>
        <c:crosses val="max"/>
        <c:crossBetween val="between"/>
      </c:valAx>
      <c:catAx>
        <c:axId val="524346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345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Assessment of Regression Factors Through Baseline Correlation</a:t>
            </a:r>
          </a:p>
          <a:p>
            <a:pPr>
              <a:defRPr/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(GDP, Population &amp; Temperature) </a:t>
            </a:r>
          </a:p>
        </c:rich>
      </c:tx>
      <c:layout>
        <c:manualLayout>
          <c:xMode val="edge"/>
          <c:yMode val="edge"/>
          <c:x val="0.1695625778762998"/>
          <c:y val="1.1989053144860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69184146731012E-2"/>
          <c:y val="0.16953370764772574"/>
          <c:w val="0.87784846751128687"/>
          <c:h val="0.55692990872271275"/>
        </c:manualLayout>
      </c:layou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'Regression Vinni Full '!$G$32:$G$55</c:f>
              <c:numCache>
                <c:formatCode>General</c:formatCode>
                <c:ptCount val="24"/>
                <c:pt idx="0">
                  <c:v>1783.9591727972074</c:v>
                </c:pt>
                <c:pt idx="1">
                  <c:v>1782.1432087725261</c:v>
                </c:pt>
                <c:pt idx="2">
                  <c:v>1777.2087062771679</c:v>
                </c:pt>
                <c:pt idx="3">
                  <c:v>1785.3846528842578</c:v>
                </c:pt>
                <c:pt idx="4">
                  <c:v>1790.290940802417</c:v>
                </c:pt>
                <c:pt idx="5">
                  <c:v>1786.6915566307161</c:v>
                </c:pt>
                <c:pt idx="6">
                  <c:v>1787.6684459646312</c:v>
                </c:pt>
                <c:pt idx="7">
                  <c:v>1788.1364554688189</c:v>
                </c:pt>
                <c:pt idx="8">
                  <c:v>1756.0054035650774</c:v>
                </c:pt>
                <c:pt idx="9">
                  <c:v>1676.7408231200861</c:v>
                </c:pt>
                <c:pt idx="10">
                  <c:v>1677.2843543863437</c:v>
                </c:pt>
                <c:pt idx="11">
                  <c:v>1654.2924625302876</c:v>
                </c:pt>
                <c:pt idx="12">
                  <c:v>1640.4149249257061</c:v>
                </c:pt>
                <c:pt idx="13">
                  <c:v>1635.1828967868787</c:v>
                </c:pt>
                <c:pt idx="14">
                  <c:v>1633.6474941397819</c:v>
                </c:pt>
                <c:pt idx="15">
                  <c:v>1627.3894014945927</c:v>
                </c:pt>
                <c:pt idx="16">
                  <c:v>1615.6104513361506</c:v>
                </c:pt>
                <c:pt idx="17">
                  <c:v>1621.2181405359188</c:v>
                </c:pt>
                <c:pt idx="18">
                  <c:v>1618.5571481524212</c:v>
                </c:pt>
                <c:pt idx="19">
                  <c:v>1618.3579670514064</c:v>
                </c:pt>
                <c:pt idx="20">
                  <c:v>1464.4051714674388</c:v>
                </c:pt>
                <c:pt idx="21">
                  <c:v>1556.4427273918482</c:v>
                </c:pt>
                <c:pt idx="22">
                  <c:v>1577.7656753999509</c:v>
                </c:pt>
                <c:pt idx="23">
                  <c:v>1531.5038181183181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5-40AC-B2E8-CBDDEFCA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257871"/>
        <c:axId val="1200232431"/>
      </c:line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'Regression Vinni Full '!$B$32:$B$55</c:f>
              <c:numCache>
                <c:formatCode>General</c:formatCode>
                <c:ptCount val="24"/>
                <c:pt idx="0">
                  <c:v>1767.7600000000002</c:v>
                </c:pt>
                <c:pt idx="1">
                  <c:v>1802.65</c:v>
                </c:pt>
                <c:pt idx="2">
                  <c:v>1781.7159999999999</c:v>
                </c:pt>
                <c:pt idx="3">
                  <c:v>1796.835</c:v>
                </c:pt>
                <c:pt idx="4">
                  <c:v>1800.3240000000003</c:v>
                </c:pt>
                <c:pt idx="5">
                  <c:v>1791.0200000000002</c:v>
                </c:pt>
                <c:pt idx="6">
                  <c:v>1773.575</c:v>
                </c:pt>
                <c:pt idx="7">
                  <c:v>1744.5000000000002</c:v>
                </c:pt>
                <c:pt idx="8">
                  <c:v>1727.0550000000001</c:v>
                </c:pt>
                <c:pt idx="9">
                  <c:v>1628.2</c:v>
                </c:pt>
                <c:pt idx="10">
                  <c:v>1657.2750000000001</c:v>
                </c:pt>
                <c:pt idx="11">
                  <c:v>1651.46</c:v>
                </c:pt>
                <c:pt idx="12">
                  <c:v>1680.5350000000001</c:v>
                </c:pt>
                <c:pt idx="13">
                  <c:v>1672.3940000000002</c:v>
                </c:pt>
                <c:pt idx="14">
                  <c:v>1636.3409999999999</c:v>
                </c:pt>
                <c:pt idx="15">
                  <c:v>1652.623</c:v>
                </c:pt>
                <c:pt idx="16">
                  <c:v>1651.46</c:v>
                </c:pt>
                <c:pt idx="17">
                  <c:v>1645.6450000000002</c:v>
                </c:pt>
                <c:pt idx="18">
                  <c:v>1651.46</c:v>
                </c:pt>
                <c:pt idx="19">
                  <c:v>1651.46</c:v>
                </c:pt>
                <c:pt idx="20">
                  <c:v>1418.8600000000001</c:v>
                </c:pt>
                <c:pt idx="21">
                  <c:v>1686.3500000000001</c:v>
                </c:pt>
                <c:pt idx="22">
                  <c:v>1463.0540000000001</c:v>
                </c:pt>
                <c:pt idx="23">
                  <c:v>1453.75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5-40AC-B2E8-CBDDEFCA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257871"/>
        <c:axId val="1200232431"/>
      </c:scatterChart>
      <c:catAx>
        <c:axId val="1200257871"/>
        <c:scaling>
          <c:orientation val="minMax"/>
        </c:scaling>
        <c:delete val="1"/>
        <c:axPos val="b"/>
        <c:majorTickMark val="none"/>
        <c:minorTickMark val="none"/>
        <c:tickLblPos val="nextTo"/>
        <c:crossAx val="1200232431"/>
        <c:crosses val="autoZero"/>
        <c:auto val="1"/>
        <c:lblAlgn val="ctr"/>
        <c:lblOffset val="100"/>
        <c:noMultiLvlLbl val="0"/>
      </c:catAx>
      <c:valAx>
        <c:axId val="1200232431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Consumption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/>
              <a:t>UK Energy Outlook: Percentage Contribution of Various </a:t>
            </a:r>
            <a:r>
              <a:rPr lang="en-IN" sz="9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Energy</a:t>
            </a:r>
            <a:r>
              <a:rPr lang="en-IN" sz="900" b="1" i="0" u="none" strike="noStrike" baseline="0"/>
              <a:t> Source (Current Analysis) </a:t>
            </a:r>
            <a:endParaRPr lang="en-IN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% for Uk'!$C$2</c:f>
              <c:strCache>
                <c:ptCount val="1"/>
                <c:pt idx="0">
                  <c:v>Coal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Uk'!$C$3:$C$16</c:f>
              <c:numCache>
                <c:formatCode>General</c:formatCode>
                <c:ptCount val="14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23</c:v>
                </c:pt>
                <c:pt idx="4">
                  <c:v>20</c:v>
                </c:pt>
                <c:pt idx="5">
                  <c:v>18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7-4181-A002-95824AD979A3}"/>
            </c:ext>
          </c:extLst>
        </c:ser>
        <c:ser>
          <c:idx val="1"/>
          <c:order val="1"/>
          <c:tx>
            <c:strRef>
              <c:f>'Energy % for Uk'!$D$2</c:f>
              <c:strCache>
                <c:ptCount val="1"/>
                <c:pt idx="0">
                  <c:v>Natural Gas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Uk'!$D$3:$D$16</c:f>
              <c:numCache>
                <c:formatCode>General</c:formatCode>
                <c:ptCount val="14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40</c:v>
                </c:pt>
                <c:pt idx="4">
                  <c:v>38</c:v>
                </c:pt>
                <c:pt idx="5">
                  <c:v>35</c:v>
                </c:pt>
                <c:pt idx="6">
                  <c:v>30</c:v>
                </c:pt>
                <c:pt idx="7">
                  <c:v>25</c:v>
                </c:pt>
                <c:pt idx="8">
                  <c:v>20</c:v>
                </c:pt>
                <c:pt idx="9">
                  <c:v>18</c:v>
                </c:pt>
                <c:pt idx="10">
                  <c:v>15</c:v>
                </c:pt>
                <c:pt idx="11">
                  <c:v>12</c:v>
                </c:pt>
                <c:pt idx="12">
                  <c:v>10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7-4181-A002-95824AD979A3}"/>
            </c:ext>
          </c:extLst>
        </c:ser>
        <c:ser>
          <c:idx val="3"/>
          <c:order val="3"/>
          <c:tx>
            <c:strRef>
              <c:f>'Energy % for Uk'!$F$2</c:f>
              <c:strCache>
                <c:ptCount val="1"/>
                <c:pt idx="0">
                  <c:v>Renewables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Uk'!$F$3:$F$16</c:f>
              <c:numCache>
                <c:formatCode>General</c:formatCode>
                <c:ptCount val="14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32</c:v>
                </c:pt>
                <c:pt idx="7">
                  <c:v>38</c:v>
                </c:pt>
                <c:pt idx="8">
                  <c:v>45</c:v>
                </c:pt>
                <c:pt idx="9">
                  <c:v>49</c:v>
                </c:pt>
                <c:pt idx="10">
                  <c:v>55</c:v>
                </c:pt>
                <c:pt idx="11">
                  <c:v>58</c:v>
                </c:pt>
                <c:pt idx="12">
                  <c:v>60</c:v>
                </c:pt>
                <c:pt idx="1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7-4181-A002-95824AD979A3}"/>
            </c:ext>
          </c:extLst>
        </c:ser>
        <c:ser>
          <c:idx val="4"/>
          <c:order val="4"/>
          <c:tx>
            <c:strRef>
              <c:f>'Energy % for Uk'!$G$2</c:f>
              <c:strCache>
                <c:ptCount val="1"/>
                <c:pt idx="0">
                  <c:v>Other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Uk'!$G$3:$G$16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7-4181-A002-95824AD9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034639"/>
        <c:axId val="365032719"/>
      </c:barChart>
      <c:lineChart>
        <c:grouping val="standard"/>
        <c:varyColors val="0"/>
        <c:ser>
          <c:idx val="2"/>
          <c:order val="2"/>
          <c:tx>
            <c:strRef>
              <c:f>'Energy % for Uk'!$E$2</c:f>
              <c:strCache>
                <c:ptCount val="1"/>
                <c:pt idx="0">
                  <c:v>Nuclear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Uk'!$E$3:$E$16</c:f>
              <c:numCache>
                <c:formatCode>General</c:formatCode>
                <c:ptCount val="14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37-4181-A002-95824AD9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034639"/>
        <c:axId val="365032719"/>
      </c:lineChart>
      <c:catAx>
        <c:axId val="36503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32719"/>
        <c:crosses val="autoZero"/>
        <c:auto val="1"/>
        <c:lblAlgn val="ctr"/>
        <c:lblOffset val="100"/>
        <c:noMultiLvlLbl val="0"/>
      </c:catAx>
      <c:valAx>
        <c:axId val="36503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Contribution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9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UK Energy Outlook: Percentage Contribution of Various Energy Source (Forecasted Demand)</a:t>
            </a:r>
            <a:endParaRPr lang="en-IN" sz="9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% for Uk'!$C$18</c:f>
              <c:strCache>
                <c:ptCount val="1"/>
                <c:pt idx="0">
                  <c:v>Coal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Uk'!$C$19:$C$25</c:f>
              <c:numCache>
                <c:formatCode>General</c:formatCode>
                <c:ptCount val="7"/>
                <c:pt idx="0">
                  <c:v>1.5</c:v>
                </c:pt>
                <c:pt idx="1">
                  <c:v>1</c:v>
                </c:pt>
                <c:pt idx="2">
                  <c:v>0.5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B-435B-AF09-D2C7A76DDD40}"/>
            </c:ext>
          </c:extLst>
        </c:ser>
        <c:ser>
          <c:idx val="1"/>
          <c:order val="1"/>
          <c:tx>
            <c:strRef>
              <c:f>'Energy % for Uk'!$D$18</c:f>
              <c:strCache>
                <c:ptCount val="1"/>
                <c:pt idx="0">
                  <c:v>Natural Gas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Uk'!$D$19:$D$25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B-435B-AF09-D2C7A76DDD40}"/>
            </c:ext>
          </c:extLst>
        </c:ser>
        <c:ser>
          <c:idx val="3"/>
          <c:order val="3"/>
          <c:tx>
            <c:strRef>
              <c:f>'Energy % for Uk'!$F$18</c:f>
              <c:strCache>
                <c:ptCount val="1"/>
                <c:pt idx="0">
                  <c:v>Renewables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Uk'!$F$19:$F$25</c:f>
              <c:numCache>
                <c:formatCode>General</c:formatCode>
                <c:ptCount val="7"/>
                <c:pt idx="0">
                  <c:v>64</c:v>
                </c:pt>
                <c:pt idx="1">
                  <c:v>66</c:v>
                </c:pt>
                <c:pt idx="2">
                  <c:v>68</c:v>
                </c:pt>
                <c:pt idx="3">
                  <c:v>70</c:v>
                </c:pt>
                <c:pt idx="4">
                  <c:v>70</c:v>
                </c:pt>
                <c:pt idx="5">
                  <c:v>68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B-435B-AF09-D2C7A76DDD40}"/>
            </c:ext>
          </c:extLst>
        </c:ser>
        <c:ser>
          <c:idx val="4"/>
          <c:order val="4"/>
          <c:tx>
            <c:strRef>
              <c:f>'Energy % for Uk'!$G$18</c:f>
              <c:strCache>
                <c:ptCount val="1"/>
                <c:pt idx="0">
                  <c:v>Other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Uk'!$G$19:$G$25</c:f>
              <c:numCache>
                <c:formatCode>General</c:formatCode>
                <c:ptCount val="7"/>
                <c:pt idx="0">
                  <c:v>4.5</c:v>
                </c:pt>
                <c:pt idx="1">
                  <c:v>4</c:v>
                </c:pt>
                <c:pt idx="2">
                  <c:v>2.5</c:v>
                </c:pt>
                <c:pt idx="3">
                  <c:v>0.8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B-435B-AF09-D2C7A76D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230031"/>
        <c:axId val="1200234351"/>
      </c:barChart>
      <c:lineChart>
        <c:grouping val="standard"/>
        <c:varyColors val="0"/>
        <c:ser>
          <c:idx val="2"/>
          <c:order val="2"/>
          <c:tx>
            <c:strRef>
              <c:f>'Energy % for Uk'!$E$18</c:f>
              <c:strCache>
                <c:ptCount val="1"/>
                <c:pt idx="0">
                  <c:v>Nuclear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Uk'!$E$19:$E$25</c:f>
              <c:numCache>
                <c:formatCode>General</c:formatCode>
                <c:ptCount val="7"/>
                <c:pt idx="0">
                  <c:v>24</c:v>
                </c:pt>
                <c:pt idx="1">
                  <c:v>25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B-435B-AF09-D2C7A76D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230031"/>
        <c:axId val="1200234351"/>
      </c:lineChart>
      <c:catAx>
        <c:axId val="120023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34351"/>
        <c:crosses val="autoZero"/>
        <c:auto val="1"/>
        <c:lblAlgn val="ctr"/>
        <c:lblOffset val="100"/>
        <c:noMultiLvlLbl val="0"/>
      </c:catAx>
      <c:valAx>
        <c:axId val="12002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Contribution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3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Energy Demand forecast V/s Nuclear Energy Demand Forecast</a:t>
            </a:r>
            <a:endParaRPr lang="en-IN" b="1"/>
          </a:p>
        </c:rich>
      </c:tx>
      <c:layout>
        <c:manualLayout>
          <c:xMode val="edge"/>
          <c:yMode val="edge"/>
          <c:x val="0.15406616491245861"/>
          <c:y val="4.6892105695544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325514853421615"/>
          <c:y val="0.2174035250309691"/>
          <c:w val="0.74117146810190582"/>
          <c:h val="0.512536715226457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'Energy % for Uk'!$T$9</c:f>
              <c:strCache>
                <c:ptCount val="1"/>
                <c:pt idx="0">
                  <c:v>Energy Forecast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% for Uk'!$R$10:$R$16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Uk'!$T$10:$T$16</c:f>
              <c:numCache>
                <c:formatCode>General</c:formatCode>
                <c:ptCount val="7"/>
                <c:pt idx="0">
                  <c:v>1798.26</c:v>
                </c:pt>
                <c:pt idx="1">
                  <c:v>1789.27</c:v>
                </c:pt>
                <c:pt idx="2">
                  <c:v>1744.99</c:v>
                </c:pt>
                <c:pt idx="3">
                  <c:v>1701.79</c:v>
                </c:pt>
                <c:pt idx="4">
                  <c:v>1659.67</c:v>
                </c:pt>
                <c:pt idx="5">
                  <c:v>1618.59</c:v>
                </c:pt>
                <c:pt idx="6">
                  <c:v>1578.53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2-47FF-971C-4DEEE6D1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0240591"/>
        <c:axId val="1200241071"/>
      </c:barChart>
      <c:lineChart>
        <c:grouping val="standard"/>
        <c:varyColors val="0"/>
        <c:ser>
          <c:idx val="0"/>
          <c:order val="0"/>
          <c:tx>
            <c:strRef>
              <c:f>'Energy % for Uk'!$S$9</c:f>
              <c:strCache>
                <c:ptCount val="1"/>
                <c:pt idx="0">
                  <c:v>Nuclear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% for Uk'!$R$10:$R$16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Uk'!$S$10:$S$16</c:f>
              <c:numCache>
                <c:formatCode>General</c:formatCode>
                <c:ptCount val="7"/>
                <c:pt idx="0">
                  <c:v>24</c:v>
                </c:pt>
                <c:pt idx="1">
                  <c:v>25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2-47FF-971C-4DEEE6D1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244911"/>
        <c:axId val="1200244431"/>
      </c:lineChart>
      <c:catAx>
        <c:axId val="120024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1071"/>
        <c:crosses val="autoZero"/>
        <c:auto val="1"/>
        <c:lblAlgn val="ctr"/>
        <c:lblOffset val="100"/>
        <c:noMultiLvlLbl val="0"/>
      </c:catAx>
      <c:valAx>
        <c:axId val="12002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Consumption TWh</a:t>
                </a:r>
              </a:p>
            </c:rich>
          </c:tx>
          <c:layout>
            <c:manualLayout>
              <c:xMode val="edge"/>
              <c:yMode val="edge"/>
              <c:x val="6.8077566661113087E-2"/>
              <c:y val="0.12408269625915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0591"/>
        <c:crosses val="autoZero"/>
        <c:crossBetween val="between"/>
      </c:valAx>
      <c:valAx>
        <c:axId val="12002444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Nuclear Energy Contribution (%)</a:t>
                </a:r>
              </a:p>
            </c:rich>
          </c:tx>
          <c:layout>
            <c:manualLayout>
              <c:xMode val="edge"/>
              <c:yMode val="edge"/>
              <c:x val="0.93216915732819505"/>
              <c:y val="0.10860045525957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4911"/>
        <c:crosses val="max"/>
        <c:crossBetween val="between"/>
      </c:valAx>
      <c:catAx>
        <c:axId val="1200244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0244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Assessment of Regression Factors Through Baseline Correlation</a:t>
            </a:r>
            <a:endParaRPr lang="en-IN" sz="1400" b="1"/>
          </a:p>
        </c:rich>
      </c:tx>
      <c:layout>
        <c:manualLayout>
          <c:xMode val="edge"/>
          <c:yMode val="edge"/>
          <c:x val="0.14159139456873895"/>
          <c:y val="2.8136894484430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Datas!$BB$47:$BB$56</c:f>
              <c:numCache>
                <c:formatCode>General</c:formatCode>
                <c:ptCount val="10"/>
                <c:pt idx="0">
                  <c:v>1636.3409999999999</c:v>
                </c:pt>
                <c:pt idx="1">
                  <c:v>1652.623</c:v>
                </c:pt>
                <c:pt idx="2">
                  <c:v>1651.46</c:v>
                </c:pt>
                <c:pt idx="3">
                  <c:v>1645.6450000000002</c:v>
                </c:pt>
                <c:pt idx="4">
                  <c:v>1651.46</c:v>
                </c:pt>
                <c:pt idx="5">
                  <c:v>1651.46</c:v>
                </c:pt>
                <c:pt idx="6">
                  <c:v>1418.8600000000001</c:v>
                </c:pt>
                <c:pt idx="7">
                  <c:v>1686.3500000000001</c:v>
                </c:pt>
                <c:pt idx="8">
                  <c:v>1463.0540000000001</c:v>
                </c:pt>
                <c:pt idx="9">
                  <c:v>1453.75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E-4C22-9828-2517B025F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04447"/>
        <c:axId val="234799647"/>
      </c:line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Datas!$BA$47:$BA$56</c:f>
              <c:numCache>
                <c:formatCode>General</c:formatCode>
                <c:ptCount val="10"/>
                <c:pt idx="0">
                  <c:v>1630.7758690292976</c:v>
                </c:pt>
                <c:pt idx="1">
                  <c:v>1643.8140507078788</c:v>
                </c:pt>
                <c:pt idx="2">
                  <c:v>1633.1476853445056</c:v>
                </c:pt>
                <c:pt idx="3">
                  <c:v>1706.7432148332518</c:v>
                </c:pt>
                <c:pt idx="4">
                  <c:v>1671.6691290033486</c:v>
                </c:pt>
                <c:pt idx="5">
                  <c:v>1642.0413362414693</c:v>
                </c:pt>
                <c:pt idx="6">
                  <c:v>1452.2989458431548</c:v>
                </c:pt>
                <c:pt idx="7">
                  <c:v>1576.6988446400064</c:v>
                </c:pt>
                <c:pt idx="8">
                  <c:v>1495.6718568596916</c:v>
                </c:pt>
                <c:pt idx="9">
                  <c:v>1458.1420674973488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E-4C22-9828-2517B025F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04447"/>
        <c:axId val="234799647"/>
      </c:scatterChart>
      <c:catAx>
        <c:axId val="234804447"/>
        <c:scaling>
          <c:orientation val="minMax"/>
        </c:scaling>
        <c:delete val="1"/>
        <c:axPos val="b"/>
        <c:majorTickMark val="none"/>
        <c:minorTickMark val="none"/>
        <c:tickLblPos val="nextTo"/>
        <c:crossAx val="234799647"/>
        <c:crosses val="autoZero"/>
        <c:auto val="1"/>
        <c:lblAlgn val="ctr"/>
        <c:lblOffset val="100"/>
        <c:noMultiLvlLbl val="0"/>
      </c:catAx>
      <c:valAx>
        <c:axId val="234799647"/>
        <c:scaling>
          <c:orientation val="minMax"/>
          <c:max val="18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ENERGY</a:t>
            </a:r>
            <a:r>
              <a:rPr lang="en-IN" b="1" baseline="0"/>
              <a:t> CONSUMPTION IN UK (1970-2023) </a:t>
            </a:r>
            <a:endParaRPr lang="en-IN" b="1"/>
          </a:p>
        </c:rich>
      </c:tx>
      <c:layout>
        <c:manualLayout>
          <c:xMode val="edge"/>
          <c:yMode val="edge"/>
          <c:x val="0.254521096183729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Datas!$AU$3:$AU$56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Datas!$BB$3:$BB$56</c:f>
              <c:numCache>
                <c:formatCode>General</c:formatCode>
                <c:ptCount val="54"/>
                <c:pt idx="0">
                  <c:v>2035.2500000000002</c:v>
                </c:pt>
                <c:pt idx="1">
                  <c:v>1977.1000000000001</c:v>
                </c:pt>
                <c:pt idx="2">
                  <c:v>1918.95</c:v>
                </c:pt>
                <c:pt idx="3">
                  <c:v>1884.0600000000002</c:v>
                </c:pt>
                <c:pt idx="4">
                  <c:v>1837.5400000000002</c:v>
                </c:pt>
                <c:pt idx="5">
                  <c:v>1744.5000000000002</c:v>
                </c:pt>
                <c:pt idx="6">
                  <c:v>1721.24</c:v>
                </c:pt>
                <c:pt idx="7">
                  <c:v>1686.3500000000001</c:v>
                </c:pt>
                <c:pt idx="8">
                  <c:v>1663.0900000000001</c:v>
                </c:pt>
                <c:pt idx="9">
                  <c:v>1628.2</c:v>
                </c:pt>
                <c:pt idx="10">
                  <c:v>1604.94</c:v>
                </c:pt>
                <c:pt idx="11">
                  <c:v>1791.0200000000002</c:v>
                </c:pt>
                <c:pt idx="12">
                  <c:v>1744.5000000000002</c:v>
                </c:pt>
                <c:pt idx="13">
                  <c:v>1686.3500000000001</c:v>
                </c:pt>
                <c:pt idx="14">
                  <c:v>1651.46</c:v>
                </c:pt>
                <c:pt idx="15">
                  <c:v>1616.5700000000002</c:v>
                </c:pt>
                <c:pt idx="16">
                  <c:v>1581.68</c:v>
                </c:pt>
                <c:pt idx="17">
                  <c:v>1570.0500000000002</c:v>
                </c:pt>
                <c:pt idx="18">
                  <c:v>1535.16</c:v>
                </c:pt>
                <c:pt idx="19">
                  <c:v>1511.9</c:v>
                </c:pt>
                <c:pt idx="20">
                  <c:v>1511.9</c:v>
                </c:pt>
                <c:pt idx="21">
                  <c:v>1488.64</c:v>
                </c:pt>
                <c:pt idx="22">
                  <c:v>1471.1950000000002</c:v>
                </c:pt>
                <c:pt idx="23">
                  <c:v>1453.75</c:v>
                </c:pt>
                <c:pt idx="24">
                  <c:v>1451.424</c:v>
                </c:pt>
                <c:pt idx="25">
                  <c:v>1436.3050000000001</c:v>
                </c:pt>
                <c:pt idx="26">
                  <c:v>1453.75</c:v>
                </c:pt>
                <c:pt idx="27">
                  <c:v>1477.01</c:v>
                </c:pt>
                <c:pt idx="28">
                  <c:v>1511.9</c:v>
                </c:pt>
                <c:pt idx="29">
                  <c:v>1535.16</c:v>
                </c:pt>
                <c:pt idx="30">
                  <c:v>1767.7600000000002</c:v>
                </c:pt>
                <c:pt idx="31">
                  <c:v>1802.65</c:v>
                </c:pt>
                <c:pt idx="32">
                  <c:v>1781.7159999999999</c:v>
                </c:pt>
                <c:pt idx="33">
                  <c:v>1796.835</c:v>
                </c:pt>
                <c:pt idx="34">
                  <c:v>1800.3240000000003</c:v>
                </c:pt>
                <c:pt idx="35">
                  <c:v>1791.0200000000002</c:v>
                </c:pt>
                <c:pt idx="36">
                  <c:v>1773.575</c:v>
                </c:pt>
                <c:pt idx="37">
                  <c:v>1744.5000000000002</c:v>
                </c:pt>
                <c:pt idx="38">
                  <c:v>1727.0550000000001</c:v>
                </c:pt>
                <c:pt idx="39">
                  <c:v>1628.2</c:v>
                </c:pt>
                <c:pt idx="40">
                  <c:v>1657.2750000000001</c:v>
                </c:pt>
                <c:pt idx="41">
                  <c:v>1651.46</c:v>
                </c:pt>
                <c:pt idx="42">
                  <c:v>1680.5350000000001</c:v>
                </c:pt>
                <c:pt idx="43">
                  <c:v>1672.3940000000002</c:v>
                </c:pt>
                <c:pt idx="44">
                  <c:v>1636.3409999999999</c:v>
                </c:pt>
                <c:pt idx="45">
                  <c:v>1652.623</c:v>
                </c:pt>
                <c:pt idx="46">
                  <c:v>1651.46</c:v>
                </c:pt>
                <c:pt idx="47">
                  <c:v>1645.6450000000002</c:v>
                </c:pt>
                <c:pt idx="48">
                  <c:v>1651.46</c:v>
                </c:pt>
                <c:pt idx="49">
                  <c:v>1651.46</c:v>
                </c:pt>
                <c:pt idx="50">
                  <c:v>1418.8600000000001</c:v>
                </c:pt>
                <c:pt idx="51">
                  <c:v>1686.3500000000001</c:v>
                </c:pt>
                <c:pt idx="52">
                  <c:v>1463.0540000000001</c:v>
                </c:pt>
                <c:pt idx="53">
                  <c:v>1453.75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3-4E12-94E4-CD57FD16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635823"/>
        <c:axId val="236636783"/>
      </c:lineChart>
      <c:catAx>
        <c:axId val="2366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36783"/>
        <c:crosses val="autoZero"/>
        <c:auto val="1"/>
        <c:lblAlgn val="ctr"/>
        <c:lblOffset val="100"/>
        <c:noMultiLvlLbl val="0"/>
      </c:catAx>
      <c:valAx>
        <c:axId val="236636783"/>
        <c:scaling>
          <c:orientation val="minMax"/>
          <c:max val="21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Consumption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3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Nuclear Energy Demand in Different</a:t>
            </a:r>
            <a:r>
              <a:rPr lang="en-IN" b="1" baseline="0"/>
              <a:t> Scenarios: Policy Changes</a:t>
            </a:r>
            <a:endParaRPr lang="en-IN" b="1"/>
          </a:p>
        </c:rich>
      </c:tx>
      <c:layout>
        <c:manualLayout>
          <c:xMode val="edge"/>
          <c:yMode val="edge"/>
          <c:x val="0.1722985564304461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'Scenario 1'!$N$13</c:f>
              <c:strCache>
                <c:ptCount val="1"/>
                <c:pt idx="0">
                  <c:v>Aggressive Decarbonization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1'!$M$14:$M$17</c:f>
              <c:numCache>
                <c:formatCode>General</c:formatCode>
                <c:ptCount val="4"/>
                <c:pt idx="0">
                  <c:v>2024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'Scenario 1'!$N$14:$N$17</c:f>
              <c:numCache>
                <c:formatCode>#,##0</c:formatCode>
                <c:ptCount val="4"/>
                <c:pt idx="0" formatCode="General">
                  <c:v>800</c:v>
                </c:pt>
                <c:pt idx="1">
                  <c:v>1200</c:v>
                </c:pt>
                <c:pt idx="2">
                  <c:v>1700</c:v>
                </c:pt>
                <c:pt idx="3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E-4931-83C3-8CBDB9559859}"/>
            </c:ext>
          </c:extLst>
        </c:ser>
        <c:ser>
          <c:idx val="1"/>
          <c:order val="1"/>
          <c:tx>
            <c:strRef>
              <c:f>'Scenario 1'!$O$13</c:f>
              <c:strCache>
                <c:ptCount val="1"/>
                <c:pt idx="0">
                  <c:v>Balanced Mix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'Scenario 1'!$M$14:$M$17</c:f>
              <c:numCache>
                <c:formatCode>General</c:formatCode>
                <c:ptCount val="4"/>
                <c:pt idx="0">
                  <c:v>2024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'Scenario 1'!$O$14:$O$17</c:f>
              <c:numCache>
                <c:formatCode>#,##0</c:formatCode>
                <c:ptCount val="4"/>
                <c:pt idx="0" formatCode="General">
                  <c:v>800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E-4931-83C3-8CBDB9559859}"/>
            </c:ext>
          </c:extLst>
        </c:ser>
        <c:ser>
          <c:idx val="2"/>
          <c:order val="2"/>
          <c:tx>
            <c:strRef>
              <c:f>'Scenario 1'!$P$13</c:f>
              <c:strCache>
                <c:ptCount val="1"/>
                <c:pt idx="0">
                  <c:v>Limited Renewable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'Scenario 1'!$M$14:$M$17</c:f>
              <c:numCache>
                <c:formatCode>General</c:formatCode>
                <c:ptCount val="4"/>
                <c:pt idx="0">
                  <c:v>2024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'Scenario 1'!$P$14:$P$17</c:f>
              <c:numCache>
                <c:formatCode>#,##0</c:formatCode>
                <c:ptCount val="4"/>
                <c:pt idx="0" formatCode="General">
                  <c:v>800</c:v>
                </c:pt>
                <c:pt idx="1">
                  <c:v>1100</c:v>
                </c:pt>
                <c:pt idx="2">
                  <c:v>1600</c:v>
                </c:pt>
                <c:pt idx="3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E-4931-83C3-8CBDB95598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324911"/>
        <c:axId val="361310511"/>
      </c:lineChart>
      <c:catAx>
        <c:axId val="3613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10511"/>
        <c:crosses val="autoZero"/>
        <c:auto val="1"/>
        <c:lblAlgn val="ctr"/>
        <c:lblOffset val="100"/>
        <c:noMultiLvlLbl val="0"/>
      </c:catAx>
      <c:valAx>
        <c:axId val="3613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Demand</a:t>
                </a:r>
                <a:r>
                  <a:rPr lang="en-IN" baseline="0"/>
                  <a:t>  TWh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2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Nuclear Energy Demand Scenarios: Economy Changes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7-4166-BB4D-80FC78F645DB}"/>
            </c:ext>
          </c:extLst>
        </c:ser>
        <c:ser>
          <c:idx val="1"/>
          <c:order val="1"/>
          <c:tx>
            <c:strRef>
              <c:f>'Scenario 2'!$F$8</c:f>
              <c:strCache>
                <c:ptCount val="1"/>
                <c:pt idx="0">
                  <c:v>High Economic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'Scenario 2'!$F$9:$F$14</c:f>
              <c:numCache>
                <c:formatCode>General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85</c:v>
                </c:pt>
                <c:pt idx="3">
                  <c:v>95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7-4166-BB4D-80FC78F645DB}"/>
            </c:ext>
          </c:extLst>
        </c:ser>
        <c:ser>
          <c:idx val="2"/>
          <c:order val="2"/>
          <c:tx>
            <c:strRef>
              <c:f>Sheet6!#REF!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A7-4166-BB4D-80FC78F645DB}"/>
            </c:ext>
          </c:extLst>
        </c:ser>
        <c:ser>
          <c:idx val="3"/>
          <c:order val="3"/>
          <c:tx>
            <c:strRef>
              <c:f>'Scenario 2'!$G$8</c:f>
              <c:strCache>
                <c:ptCount val="1"/>
                <c:pt idx="0">
                  <c:v>Global Energy Crisis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'Scenario 2'!$G$9:$G$14</c:f>
              <c:numCache>
                <c:formatCode>General</c:formatCode>
                <c:ptCount val="6"/>
                <c:pt idx="0">
                  <c:v>60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A7-4166-BB4D-80FC78F645DB}"/>
            </c:ext>
          </c:extLst>
        </c:ser>
        <c:ser>
          <c:idx val="4"/>
          <c:order val="4"/>
          <c:tx>
            <c:strRef>
              <c:f>'Scenario 2'!$H$8</c:f>
              <c:strCache>
                <c:ptCount val="1"/>
                <c:pt idx="0">
                  <c:v>Moderate Growth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'Scenario 2'!$H$9:$H$14</c:f>
              <c:numCache>
                <c:formatCode>General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A7-4166-BB4D-80FC78F645DB}"/>
            </c:ext>
          </c:extLst>
        </c:ser>
        <c:ser>
          <c:idx val="5"/>
          <c:order val="5"/>
          <c:tx>
            <c:strRef>
              <c:f>Sheet6!#REF!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A7-4166-BB4D-80FC78F645DB}"/>
            </c:ext>
          </c:extLst>
        </c:ser>
        <c:ser>
          <c:idx val="6"/>
          <c:order val="6"/>
          <c:tx>
            <c:strRef>
              <c:f>'Scenario 2'!$I$8</c:f>
              <c:strCache>
                <c:ptCount val="1"/>
                <c:pt idx="0">
                  <c:v>Low Economic Growth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'Scenario 2'!$I$9:$I$14</c:f>
              <c:numCache>
                <c:formatCode>General</c:formatCode>
                <c:ptCount val="6"/>
                <c:pt idx="0">
                  <c:v>60</c:v>
                </c:pt>
                <c:pt idx="1">
                  <c:v>50</c:v>
                </c:pt>
                <c:pt idx="2">
                  <c:v>45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A7-4166-BB4D-80FC78F645DB}"/>
            </c:ext>
          </c:extLst>
        </c:ser>
        <c:ser>
          <c:idx val="7"/>
          <c:order val="7"/>
          <c:tx>
            <c:strRef>
              <c:f>'Scenario 2'!$J$8</c:f>
              <c:strCache>
                <c:ptCount val="1"/>
                <c:pt idx="0">
                  <c:v>Renewable Policy Focus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'Scenario 2'!$E$9:$E$14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'Scenario 2'!$J$9:$J$14</c:f>
              <c:numCache>
                <c:formatCode>General</c:formatCode>
                <c:ptCount val="6"/>
                <c:pt idx="0">
                  <c:v>60</c:v>
                </c:pt>
                <c:pt idx="1">
                  <c:v>45</c:v>
                </c:pt>
                <c:pt idx="2">
                  <c:v>35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A7-4166-BB4D-80FC78F645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792447"/>
        <c:axId val="234792927"/>
      </c:lineChart>
      <c:catAx>
        <c:axId val="2347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92927"/>
        <c:crosses val="autoZero"/>
        <c:auto val="1"/>
        <c:lblAlgn val="ctr"/>
        <c:lblOffset val="100"/>
        <c:noMultiLvlLbl val="0"/>
      </c:catAx>
      <c:valAx>
        <c:axId val="2347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Demand KTOe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9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'Regression &amp; Forecast'!$G$1</c:f>
              <c:strCache>
                <c:ptCount val="1"/>
                <c:pt idx="0">
                  <c:v>Baslines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'Regression &amp; Forecast'!$C$2:$C$10</c:f>
              <c:numCache>
                <c:formatCode>General</c:formatCode>
                <c:ptCount val="9"/>
                <c:pt idx="0">
                  <c:v>2026566</c:v>
                </c:pt>
                <c:pt idx="1">
                  <c:v>2071561</c:v>
                </c:pt>
                <c:pt idx="2">
                  <c:v>2111357</c:v>
                </c:pt>
                <c:pt idx="3">
                  <c:v>2167415</c:v>
                </c:pt>
                <c:pt idx="4">
                  <c:v>2197841</c:v>
                </c:pt>
                <c:pt idx="5">
                  <c:v>2233921</c:v>
                </c:pt>
                <c:pt idx="6">
                  <c:v>2002489</c:v>
                </c:pt>
                <c:pt idx="7">
                  <c:v>2176203</c:v>
                </c:pt>
                <c:pt idx="8">
                  <c:v>2270764</c:v>
                </c:pt>
              </c:numCache>
            </c:numRef>
          </c:cat>
          <c:val>
            <c:numRef>
              <c:f>'Regression &amp; Forecast'!$G$2:$G$10</c:f>
              <c:numCache>
                <c:formatCode>General</c:formatCode>
                <c:ptCount val="9"/>
                <c:pt idx="0">
                  <c:v>55629.8654568895</c:v>
                </c:pt>
                <c:pt idx="1">
                  <c:v>55552.673466506763</c:v>
                </c:pt>
                <c:pt idx="2">
                  <c:v>54625.802629607962</c:v>
                </c:pt>
                <c:pt idx="3">
                  <c:v>56526.361644219374</c:v>
                </c:pt>
                <c:pt idx="4">
                  <c:v>55842.172377244337</c:v>
                </c:pt>
                <c:pt idx="5">
                  <c:v>55442.008329106902</c:v>
                </c:pt>
                <c:pt idx="6">
                  <c:v>40004.836410258664</c:v>
                </c:pt>
                <c:pt idx="7">
                  <c:v>49539.44124074938</c:v>
                </c:pt>
                <c:pt idx="8">
                  <c:v>50026.838445417932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E2-424D-A10D-52394DF1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532799"/>
        <c:axId val="658550079"/>
      </c:lineChart>
      <c:scatterChart>
        <c:scatterStyle val="lineMarker"/>
        <c:varyColors val="0"/>
        <c:ser>
          <c:idx val="0"/>
          <c:order val="0"/>
          <c:tx>
            <c:strRef>
              <c:f>'Regression &amp; Forecast'!$B$1</c:f>
              <c:strCache>
                <c:ptCount val="1"/>
                <c:pt idx="0">
                  <c:v>Consumption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'Regression &amp; Forecast'!$C$2:$C$10</c:f>
              <c:numCache>
                <c:formatCode>General</c:formatCode>
                <c:ptCount val="9"/>
                <c:pt idx="0">
                  <c:v>2026566</c:v>
                </c:pt>
                <c:pt idx="1">
                  <c:v>2071561</c:v>
                </c:pt>
                <c:pt idx="2">
                  <c:v>2111357</c:v>
                </c:pt>
                <c:pt idx="3">
                  <c:v>2167415</c:v>
                </c:pt>
                <c:pt idx="4">
                  <c:v>2197841</c:v>
                </c:pt>
                <c:pt idx="5">
                  <c:v>2233921</c:v>
                </c:pt>
                <c:pt idx="6">
                  <c:v>2002489</c:v>
                </c:pt>
                <c:pt idx="7">
                  <c:v>2176203</c:v>
                </c:pt>
                <c:pt idx="8">
                  <c:v>2270764</c:v>
                </c:pt>
              </c:numCache>
            </c:numRef>
          </c:xVal>
          <c:yVal>
            <c:numRef>
              <c:f>'Regression &amp; Forecast'!$B$2:$B$10</c:f>
              <c:numCache>
                <c:formatCode>General</c:formatCode>
                <c:ptCount val="9"/>
                <c:pt idx="0">
                  <c:v>54618</c:v>
                </c:pt>
                <c:pt idx="1">
                  <c:v>54617</c:v>
                </c:pt>
                <c:pt idx="2">
                  <c:v>56086</c:v>
                </c:pt>
                <c:pt idx="3">
                  <c:v>57453</c:v>
                </c:pt>
                <c:pt idx="4">
                  <c:v>57251</c:v>
                </c:pt>
                <c:pt idx="5">
                  <c:v>56275</c:v>
                </c:pt>
                <c:pt idx="6">
                  <c:v>41712</c:v>
                </c:pt>
                <c:pt idx="7">
                  <c:v>44395</c:v>
                </c:pt>
                <c:pt idx="8">
                  <c:v>50783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E2-424D-A10D-52394DF1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533759"/>
        <c:axId val="658546239"/>
      </c:scatterChart>
      <c:catAx>
        <c:axId val="6585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50079"/>
        <c:crosses val="autoZero"/>
        <c:auto val="1"/>
        <c:lblAlgn val="ctr"/>
        <c:lblOffset val="100"/>
        <c:noMultiLvlLbl val="0"/>
      </c:catAx>
      <c:valAx>
        <c:axId val="6585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32799"/>
        <c:crosses val="autoZero"/>
        <c:crossBetween val="between"/>
      </c:valAx>
      <c:valAx>
        <c:axId val="658546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33759"/>
        <c:crosses val="max"/>
        <c:crossBetween val="midCat"/>
      </c:valAx>
      <c:valAx>
        <c:axId val="65853375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46239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298450</xdr:colOff>
      <xdr:row>29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332D3-A715-4768-9EDB-A5B350072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18</xdr:row>
      <xdr:rowOff>76200</xdr:rowOff>
    </xdr:from>
    <xdr:to>
      <xdr:col>5</xdr:col>
      <xdr:colOff>657225</xdr:colOff>
      <xdr:row>33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0F64DA-080E-4F2B-929B-F36F6343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464075</xdr:colOff>
      <xdr:row>25</xdr:row>
      <xdr:rowOff>41089</xdr:rowOff>
    </xdr:from>
    <xdr:to>
      <xdr:col>18</xdr:col>
      <xdr:colOff>288293</xdr:colOff>
      <xdr:row>49</xdr:row>
      <xdr:rowOff>74160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56652-AF27-F15F-AF6B-9476D86A3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361533</xdr:colOff>
      <xdr:row>30</xdr:row>
      <xdr:rowOff>55621</xdr:rowOff>
    </xdr:from>
    <xdr:to>
      <xdr:col>17</xdr:col>
      <xdr:colOff>436649</xdr:colOff>
      <xdr:row>31</xdr:row>
      <xdr:rowOff>126461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B0BB8C-E468-4AD5-9BFC-BFD1C160DAE9}"/>
            </a:ext>
          </a:extLst>
        </xdr:cNvPr>
        <xdr:cNvSpPr txBox="1"/>
      </xdr:nvSpPr>
      <xdr:spPr>
        <a:xfrm>
          <a:off x="9107847" y="4523796"/>
          <a:ext cx="4969714" cy="2562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2014  </a:t>
          </a:r>
          <a:r>
            <a:rPr lang="en-IN" sz="900" kern="1200" baseline="0">
              <a:solidFill>
                <a:schemeClr val="tx1">
                  <a:lumMod val="75000"/>
                  <a:lumOff val="25000"/>
                </a:schemeClr>
              </a:solidFill>
            </a:rPr>
            <a:t>  </a:t>
          </a:r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      2015         2016         2017             2018             2019         2020         2021         2022              2023</a:t>
          </a:r>
        </a:p>
      </xdr:txBody>
    </xdr:sp>
    <xdr:clientData/>
  </xdr:twoCellAnchor>
  <xdr:twoCellAnchor>
    <xdr:from>
      <xdr:col>7</xdr:col>
      <xdr:colOff>246702</xdr:colOff>
      <xdr:row>45</xdr:row>
      <xdr:rowOff>95469</xdr:rowOff>
    </xdr:from>
    <xdr:to>
      <xdr:col>13</xdr:col>
      <xdr:colOff>30656</xdr:colOff>
      <xdr:row>60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EB6CAE-F0B5-1A75-519B-7EA39A6A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166413</xdr:colOff>
      <xdr:row>45</xdr:row>
      <xdr:rowOff>95469</xdr:rowOff>
    </xdr:from>
    <xdr:to>
      <xdr:col>7</xdr:col>
      <xdr:colOff>162034</xdr:colOff>
      <xdr:row>60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022C07-BDEB-438C-827A-59662C6C8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0.34911</cdr:x>
      <cdr:y>0.88923</cdr:y>
    </cdr:from>
    <cdr:to>
      <cdr:x>0.83958</cdr:x>
      <cdr:y>0.99109</cdr:y>
    </cdr:to>
    <cdr:sp macro="" textlink="">
      <cdr:nvSpPr>
        <cdr:cNvPr id="2" name="TextBox 12">
          <a:extLst xmlns:a="http://schemas.openxmlformats.org/drawingml/2006/main">
            <a:ext uri="{FF2B5EF4-FFF2-40B4-BE49-F238E27FC236}">
              <a16:creationId xmlns:a16="http://schemas.microsoft.com/office/drawing/2014/main" id="{7E38757C-3211-A500-4031-7AFC00F0BAD8}"/>
            </a:ext>
          </a:extLst>
        </cdr:cNvPr>
        <cdr:cNvSpPr txBox="1"/>
      </cdr:nvSpPr>
      <cdr:spPr>
        <a:xfrm xmlns:a="http://schemas.openxmlformats.org/drawingml/2006/main">
          <a:off x="2074586" y="2774169"/>
          <a:ext cx="2914606" cy="317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900" kern="1200"/>
            <a:t>   Baseline             Actual</a:t>
          </a:r>
          <a:r>
            <a:rPr lang="en-IN" sz="900" kern="1200" baseline="0"/>
            <a:t> Energy Consumption</a:t>
          </a:r>
          <a:endParaRPr lang="en-IN" sz="900" kern="1200"/>
        </a:p>
      </cdr:txBody>
    </cdr:sp>
  </cdr:relSizeAnchor>
  <cdr:relSizeAnchor xmlns:cdr="http://schemas.openxmlformats.org/drawingml/2006/chartDrawing">
    <cdr:from>
      <cdr:x>0.47108</cdr:x>
      <cdr:y>0.91811</cdr:y>
    </cdr:from>
    <cdr:to>
      <cdr:x>0.49313</cdr:x>
      <cdr:y>0.9375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9C1C1BD-B2EE-59B4-2204-2710374A8255}"/>
            </a:ext>
          </a:extLst>
        </cdr:cNvPr>
        <cdr:cNvSpPr/>
      </cdr:nvSpPr>
      <cdr:spPr>
        <a:xfrm xmlns:a="http://schemas.openxmlformats.org/drawingml/2006/main">
          <a:off x="2799377" y="2864267"/>
          <a:ext cx="131032" cy="6047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kern="1200"/>
        </a:p>
      </cdr:txBody>
    </cdr:sp>
  </cdr:relSizeAnchor>
  <cdr:relSizeAnchor xmlns:cdr="http://schemas.openxmlformats.org/drawingml/2006/chartDrawing">
    <cdr:from>
      <cdr:x>0.34787</cdr:x>
      <cdr:y>0.92011</cdr:y>
    </cdr:from>
    <cdr:to>
      <cdr:x>0.37026</cdr:x>
      <cdr:y>0.9376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E2DCFC9-CD7C-4D3B-9284-4E365744AA3D}"/>
            </a:ext>
          </a:extLst>
        </cdr:cNvPr>
        <cdr:cNvSpPr/>
      </cdr:nvSpPr>
      <cdr:spPr>
        <a:xfrm xmlns:a="http://schemas.openxmlformats.org/drawingml/2006/main">
          <a:off x="2067227" y="2870517"/>
          <a:ext cx="133002" cy="5455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207736</xdr:colOff>
      <xdr:row>18</xdr:row>
      <xdr:rowOff>91511</xdr:rowOff>
    </xdr:from>
    <xdr:to>
      <xdr:col>25</xdr:col>
      <xdr:colOff>139254</xdr:colOff>
      <xdr:row>36</xdr:row>
      <xdr:rowOff>186601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7F55F4-A504-DE07-AD57-9EDC894D1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122768</xdr:colOff>
      <xdr:row>32</xdr:row>
      <xdr:rowOff>11140</xdr:rowOff>
    </xdr:from>
    <xdr:to>
      <xdr:col>25</xdr:col>
      <xdr:colOff>256795</xdr:colOff>
      <xdr:row>36</xdr:row>
      <xdr:rowOff>82415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33DE87-6A19-44ED-8D1B-12B08C0A0D0C}"/>
            </a:ext>
          </a:extLst>
        </xdr:cNvPr>
        <xdr:cNvSpPr txBox="1"/>
      </xdr:nvSpPr>
      <xdr:spPr>
        <a:xfrm>
          <a:off x="11764435" y="6071491"/>
          <a:ext cx="6261220" cy="8288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1999</a:t>
          </a:r>
          <a:r>
            <a:rPr lang="en-IN" sz="900" kern="1200" baseline="0">
              <a:solidFill>
                <a:schemeClr val="tx1">
                  <a:lumMod val="75000"/>
                  <a:lumOff val="25000"/>
                </a:schemeClr>
              </a:solidFill>
            </a:rPr>
            <a:t>             2001         2003          2005          2007        2009           2011        2013       2015         2017        2019       2021          2023</a:t>
          </a:r>
          <a:endParaRPr lang="en-IN" sz="900" kern="12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19</xdr:col>
      <xdr:colOff>284836</xdr:colOff>
      <xdr:row>32</xdr:row>
      <xdr:rowOff>113222</xdr:rowOff>
    </xdr:from>
    <xdr:to>
      <xdr:col>24</xdr:col>
      <xdr:colOff>134198</xdr:colOff>
      <xdr:row>34</xdr:row>
      <xdr:rowOff>55591</xdr:rowOff>
    </xdr:to>
    <xdr:sp macro="" textlink="">
      <xdr:nvSpPr>
        <xdr:cNvPr id="9" name="TextBox 12">
          <a:extLst>
            <a:ext uri="{FF2B5EF4-FFF2-40B4-BE49-F238E27FC236}">
              <a16:creationId xmlns:a16="http://schemas.microsoft.com/office/drawing/2014/main" id="{B0879A4A-D5B8-B4CC-D5B4-7C23543508FD}"/>
            </a:ext>
          </a:extLst>
        </xdr:cNvPr>
        <xdr:cNvSpPr txBox="1"/>
      </xdr:nvSpPr>
      <xdr:spPr>
        <a:xfrm>
          <a:off x="14377380" y="6173573"/>
          <a:ext cx="2912958" cy="3211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900" kern="1200"/>
            <a:t>   Baseline             Actual</a:t>
          </a:r>
          <a:r>
            <a:rPr lang="en-IN" sz="900" kern="1200" baseline="0"/>
            <a:t> Energy Consumption</a:t>
          </a:r>
          <a:endParaRPr lang="en-IN" sz="900" kern="1200"/>
        </a:p>
      </xdr:txBody>
    </xdr:sp>
    <xdr:clientData/>
  </xdr:twoCellAnchor>
  <xdr:twoCellAnchor>
    <xdr:from>
      <xdr:col>22</xdr:col>
      <xdr:colOff>66810</xdr:colOff>
      <xdr:row>32</xdr:row>
      <xdr:rowOff>47875</xdr:rowOff>
    </xdr:from>
    <xdr:to>
      <xdr:col>22</xdr:col>
      <xdr:colOff>197701</xdr:colOff>
      <xdr:row>32</xdr:row>
      <xdr:rowOff>107479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04BA52-0F2A-991B-BE22-DD1BDEDB44BC}"/>
            </a:ext>
          </a:extLst>
        </xdr:cNvPr>
        <xdr:cNvSpPr/>
      </xdr:nvSpPr>
      <xdr:spPr>
        <a:xfrm>
          <a:off x="15997512" y="6108226"/>
          <a:ext cx="130891" cy="59604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 kern="1200"/>
        </a:p>
      </xdr:txBody>
    </xdr:sp>
    <xdr:clientData/>
  </xdr:twoCellAnchor>
  <xdr:twoCellAnchor>
    <xdr:from>
      <xdr:col>22</xdr:col>
      <xdr:colOff>294763</xdr:colOff>
      <xdr:row>32</xdr:row>
      <xdr:rowOff>92116</xdr:rowOff>
    </xdr:from>
    <xdr:to>
      <xdr:col>22</xdr:col>
      <xdr:colOff>427622</xdr:colOff>
      <xdr:row>32</xdr:row>
      <xdr:rowOff>145882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9D4D86C-5C3D-E773-F0E3-93DDCBF82A87}"/>
            </a:ext>
          </a:extLst>
        </xdr:cNvPr>
        <xdr:cNvSpPr/>
      </xdr:nvSpPr>
      <xdr:spPr>
        <a:xfrm>
          <a:off x="16225465" y="6152467"/>
          <a:ext cx="132859" cy="53766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393700</xdr:colOff>
      <xdr:row>20</xdr:row>
      <xdr:rowOff>133350</xdr:rowOff>
    </xdr:from>
    <xdr:to>
      <xdr:col>18</xdr:col>
      <xdr:colOff>221698</xdr:colOff>
      <xdr:row>34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BAE68-C985-7DF8-6124-820CDF92B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359743</xdr:colOff>
      <xdr:row>20</xdr:row>
      <xdr:rowOff>82550</xdr:rowOff>
    </xdr:from>
    <xdr:to>
      <xdr:col>12</xdr:col>
      <xdr:colOff>501650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96CF5-3EF6-20CD-15A3-5C0903FF1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69850</xdr:colOff>
      <xdr:row>34</xdr:row>
      <xdr:rowOff>100274</xdr:rowOff>
    </xdr:from>
    <xdr:to>
      <xdr:col>18</xdr:col>
      <xdr:colOff>266700</xdr:colOff>
      <xdr:row>46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7665C6-28A1-9FC8-FE7E-1718AF7B5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246944</xdr:colOff>
      <xdr:row>39</xdr:row>
      <xdr:rowOff>73250</xdr:rowOff>
    </xdr:from>
    <xdr:to>
      <xdr:col>63</xdr:col>
      <xdr:colOff>221746</xdr:colOff>
      <xdr:row>53</xdr:row>
      <xdr:rowOff>100327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00272B-DFD0-7075-72BE-B13BF1FED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735792</xdr:colOff>
      <xdr:row>52</xdr:row>
      <xdr:rowOff>176387</xdr:rowOff>
    </xdr:from>
    <xdr:to>
      <xdr:col>62</xdr:col>
      <xdr:colOff>594681</xdr:colOff>
      <xdr:row>54</xdr:row>
      <xdr:rowOff>50396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624522-0CD0-DB44-6958-417A74048E6A}"/>
            </a:ext>
          </a:extLst>
        </xdr:cNvPr>
        <xdr:cNvSpPr txBox="1"/>
      </xdr:nvSpPr>
      <xdr:spPr>
        <a:xfrm>
          <a:off x="37268451" y="10134800"/>
          <a:ext cx="4964087" cy="25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2014  </a:t>
          </a:r>
          <a:r>
            <a:rPr lang="en-IN" sz="900" kern="1200" baseline="0">
              <a:solidFill>
                <a:schemeClr val="tx1">
                  <a:lumMod val="75000"/>
                  <a:lumOff val="25000"/>
                </a:schemeClr>
              </a:solidFill>
            </a:rPr>
            <a:t>  </a:t>
          </a:r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      2015         2016         2017             2018             2019         2020         2021         2022              2023</a:t>
          </a:r>
        </a:p>
      </xdr:txBody>
    </xdr:sp>
    <xdr:clientData/>
  </xdr:twoCellAnchor>
  <xdr:twoCellAnchor>
    <xdr:from>
      <xdr:col>56</xdr:col>
      <xdr:colOff>443492</xdr:colOff>
      <xdr:row>54</xdr:row>
      <xdr:rowOff>5038</xdr:rowOff>
    </xdr:from>
    <xdr:to>
      <xdr:col>60</xdr:col>
      <xdr:colOff>251984</xdr:colOff>
      <xdr:row>55</xdr:row>
      <xdr:rowOff>95753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E38757C-3211-A500-4031-7AFC00F0BAD8}"/>
            </a:ext>
          </a:extLst>
        </xdr:cNvPr>
        <xdr:cNvSpPr txBox="1"/>
      </xdr:nvSpPr>
      <xdr:spPr>
        <a:xfrm>
          <a:off x="38422540" y="10346467"/>
          <a:ext cx="2247698" cy="282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/>
            <a:t>   Baseline         Actual</a:t>
          </a:r>
          <a:r>
            <a:rPr lang="en-IN" sz="900" kern="1200" baseline="0"/>
            <a:t> Energy Consumption</a:t>
          </a:r>
          <a:endParaRPr lang="en-IN" sz="900" kern="1200"/>
        </a:p>
      </xdr:txBody>
    </xdr:sp>
    <xdr:clientData/>
  </xdr:twoCellAnchor>
  <xdr:twoCellAnchor>
    <xdr:from>
      <xdr:col>56</xdr:col>
      <xdr:colOff>438450</xdr:colOff>
      <xdr:row>54</xdr:row>
      <xdr:rowOff>90713</xdr:rowOff>
    </xdr:from>
    <xdr:to>
      <xdr:col>56</xdr:col>
      <xdr:colOff>569482</xdr:colOff>
      <xdr:row>54</xdr:row>
      <xdr:rowOff>151189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9C1C1BD-B2EE-59B4-2204-2710374A8255}"/>
            </a:ext>
          </a:extLst>
        </xdr:cNvPr>
        <xdr:cNvSpPr/>
      </xdr:nvSpPr>
      <xdr:spPr>
        <a:xfrm>
          <a:off x="38417498" y="10432142"/>
          <a:ext cx="131032" cy="60476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57</xdr:col>
      <xdr:colOff>469901</xdr:colOff>
      <xdr:row>54</xdr:row>
      <xdr:rowOff>96963</xdr:rowOff>
    </xdr:from>
    <xdr:to>
      <xdr:col>57</xdr:col>
      <xdr:colOff>600933</xdr:colOff>
      <xdr:row>54</xdr:row>
      <xdr:rowOff>157439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E2DCFC9-CD7C-4D3B-9284-4E365744AA3D}"/>
            </a:ext>
          </a:extLst>
        </xdr:cNvPr>
        <xdr:cNvSpPr/>
      </xdr:nvSpPr>
      <xdr:spPr>
        <a:xfrm>
          <a:off x="39058750" y="10438392"/>
          <a:ext cx="131032" cy="60476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48</xdr:col>
      <xdr:colOff>473730</xdr:colOff>
      <xdr:row>56</xdr:row>
      <xdr:rowOff>130226</xdr:rowOff>
    </xdr:from>
    <xdr:to>
      <xdr:col>57</xdr:col>
      <xdr:colOff>604762</xdr:colOff>
      <xdr:row>71</xdr:row>
      <xdr:rowOff>20965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2F10E7-6606-85DB-2FCF-BF3F2ADF9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490058</xdr:colOff>
      <xdr:row>70</xdr:row>
      <xdr:rowOff>162478</xdr:rowOff>
    </xdr:from>
    <xdr:to>
      <xdr:col>56</xdr:col>
      <xdr:colOff>20157</xdr:colOff>
      <xdr:row>72</xdr:row>
      <xdr:rowOff>71765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D0D583-7DE2-4726-8089-8ED99184581E}"/>
            </a:ext>
          </a:extLst>
        </xdr:cNvPr>
        <xdr:cNvSpPr txBox="1"/>
      </xdr:nvSpPr>
      <xdr:spPr>
        <a:xfrm>
          <a:off x="35193312" y="13552915"/>
          <a:ext cx="2805893" cy="282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/>
            <a:t>Energy Consumption (TWh)</a:t>
          </a:r>
          <a:r>
            <a:rPr lang="en-IN" sz="900" kern="1200" baseline="0"/>
            <a:t>                        Linear (TWh) </a:t>
          </a:r>
          <a:endParaRPr lang="en-IN" sz="900" kern="1200"/>
        </a:p>
      </xdr:txBody>
    </xdr:sp>
    <xdr:clientData/>
  </xdr:twoCellAnchor>
  <xdr:twoCellAnchor>
    <xdr:from>
      <xdr:col>51</xdr:col>
      <xdr:colOff>337659</xdr:colOff>
      <xdr:row>71</xdr:row>
      <xdr:rowOff>80636</xdr:rowOff>
    </xdr:from>
    <xdr:to>
      <xdr:col>51</xdr:col>
      <xdr:colOff>559405</xdr:colOff>
      <xdr:row>71</xdr:row>
      <xdr:rowOff>126355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B4A30E9-9614-C914-B78A-8DE43403C2F3}"/>
            </a:ext>
          </a:extLst>
        </xdr:cNvPr>
        <xdr:cNvSpPr/>
      </xdr:nvSpPr>
      <xdr:spPr>
        <a:xfrm>
          <a:off x="35040913" y="13657541"/>
          <a:ext cx="221746" cy="4571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54</xdr:col>
      <xdr:colOff>320310</xdr:colOff>
      <xdr:row>71</xdr:row>
      <xdr:rowOff>100793</xdr:rowOff>
    </xdr:from>
    <xdr:to>
      <xdr:col>54</xdr:col>
      <xdr:colOff>650118</xdr:colOff>
      <xdr:row>71</xdr:row>
      <xdr:rowOff>101151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C0F5D8D-C0CC-A634-EDD9-589F388EF4A0}"/>
            </a:ext>
          </a:extLst>
        </xdr:cNvPr>
        <xdr:cNvCxnSpPr/>
      </xdr:nvCxnSpPr>
      <xdr:spPr>
        <a:xfrm flipV="1">
          <a:off x="36717611" y="13643713"/>
          <a:ext cx="329808" cy="358"/>
        </a:xfrm>
        <a:prstGeom prst="line">
          <a:avLst/>
        </a:prstGeom>
        <a:ln w="1905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18</xdr:row>
      <xdr:rowOff>139700</xdr:rowOff>
    </xdr:from>
    <xdr:to>
      <xdr:col>13</xdr:col>
      <xdr:colOff>1320799</xdr:colOff>
      <xdr:row>33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930CD0-A060-CE60-DCC0-40CAB5AED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0.60278</cdr:x>
      <cdr:y>0.22454</cdr:y>
    </cdr:from>
    <cdr:to>
      <cdr:x>1</cdr:x>
      <cdr:y>0.30556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37DF68-6D38-FC68-2354-A2C2BD858C1C}"/>
            </a:ext>
          </a:extLst>
        </cdr:cNvPr>
        <cdr:cNvSpPr txBox="1"/>
      </cdr:nvSpPr>
      <cdr:spPr>
        <a:xfrm xmlns:a="http://schemas.openxmlformats.org/drawingml/2006/main">
          <a:off x="2755900" y="615950"/>
          <a:ext cx="181610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0.71389</cdr:x>
      <cdr:y>0.22454</cdr:y>
    </cdr:from>
    <cdr:to>
      <cdr:x>1</cdr:x>
      <cdr:y>0.33796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96CC784-35A1-9F7F-81B5-4B34E87FB432}"/>
            </a:ext>
          </a:extLst>
        </cdr:cNvPr>
        <cdr:cNvSpPr txBox="1"/>
      </cdr:nvSpPr>
      <cdr:spPr>
        <a:xfrm xmlns:a="http://schemas.openxmlformats.org/drawingml/2006/main">
          <a:off x="3263900" y="615950"/>
          <a:ext cx="1308100" cy="31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Limited</a:t>
          </a:r>
          <a:r>
            <a:rPr lang="en-IN" sz="1100" kern="1200" baseline="0"/>
            <a:t> Renewable</a:t>
          </a:r>
          <a:endParaRPr lang="en-IN" sz="1100" kern="1200"/>
        </a:p>
      </cdr:txBody>
    </cdr:sp>
  </cdr:relSizeAnchor>
  <cdr:relSizeAnchor xmlns:cdr="http://schemas.openxmlformats.org/drawingml/2006/chartDrawing">
    <cdr:from>
      <cdr:x>0.71389</cdr:x>
      <cdr:y>0.4838</cdr:y>
    </cdr:from>
    <cdr:to>
      <cdr:x>1</cdr:x>
      <cdr:y>0.59722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9F1204B-A4D2-FD72-6632-179A1DB58CF4}"/>
            </a:ext>
          </a:extLst>
        </cdr:cNvPr>
        <cdr:cNvSpPr txBox="1"/>
      </cdr:nvSpPr>
      <cdr:spPr>
        <a:xfrm xmlns:a="http://schemas.openxmlformats.org/drawingml/2006/main">
          <a:off x="3263900" y="1327150"/>
          <a:ext cx="1308100" cy="31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 kern="1200"/>
            <a:t>Balanced Mix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751514</xdr:colOff>
      <xdr:row>14</xdr:row>
      <xdr:rowOff>40466</xdr:rowOff>
    </xdr:from>
    <xdr:to>
      <xdr:col>10</xdr:col>
      <xdr:colOff>99751</xdr:colOff>
      <xdr:row>28</xdr:row>
      <xdr:rowOff>40780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79C288-2264-9BEA-E394-AFC3A0C9D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996192</xdr:colOff>
      <xdr:row>17</xdr:row>
      <xdr:rowOff>58257</xdr:rowOff>
    </xdr:from>
    <xdr:to>
      <xdr:col>10</xdr:col>
      <xdr:colOff>1205917</xdr:colOff>
      <xdr:row>18</xdr:row>
      <xdr:rowOff>122339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0260F4-A9F2-9474-4F97-06A8CF9437A8}"/>
            </a:ext>
          </a:extLst>
        </xdr:cNvPr>
        <xdr:cNvSpPr txBox="1"/>
      </xdr:nvSpPr>
      <xdr:spPr>
        <a:xfrm>
          <a:off x="8697752" y="3274037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High Economic Growth</a:t>
          </a:r>
        </a:p>
      </xdr:txBody>
    </xdr:sp>
    <xdr:clientData/>
  </xdr:twoCellAnchor>
  <xdr:twoCellAnchor>
    <xdr:from>
      <xdr:col>9</xdr:col>
      <xdr:colOff>967065</xdr:colOff>
      <xdr:row>19</xdr:row>
      <xdr:rowOff>82492</xdr:rowOff>
    </xdr:from>
    <xdr:to>
      <xdr:col>10</xdr:col>
      <xdr:colOff>1189373</xdr:colOff>
      <xdr:row>20</xdr:row>
      <xdr:rowOff>146574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7A12D-C088-4F97-A43B-5E1D3AEE9EF0}"/>
            </a:ext>
          </a:extLst>
        </xdr:cNvPr>
        <xdr:cNvSpPr txBox="1"/>
      </xdr:nvSpPr>
      <xdr:spPr>
        <a:xfrm>
          <a:off x="8668625" y="3671116"/>
          <a:ext cx="1562216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 Energy Crisis</a:t>
          </a:r>
          <a:r>
            <a:rPr lang="en-IN"/>
            <a:t> </a:t>
          </a:r>
          <a:endParaRPr lang="en-IN" sz="1100" kern="1200"/>
        </a:p>
      </xdr:txBody>
    </xdr:sp>
    <xdr:clientData/>
  </xdr:twoCellAnchor>
  <xdr:twoCellAnchor>
    <xdr:from>
      <xdr:col>9</xdr:col>
      <xdr:colOff>512661</xdr:colOff>
      <xdr:row>21</xdr:row>
      <xdr:rowOff>69908</xdr:rowOff>
    </xdr:from>
    <xdr:to>
      <xdr:col>10</xdr:col>
      <xdr:colOff>722386</xdr:colOff>
      <xdr:row>22</xdr:row>
      <xdr:rowOff>133990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DE03EFB-14EF-45E7-BA1E-EB1332403B77}"/>
            </a:ext>
          </a:extLst>
        </xdr:cNvPr>
        <xdr:cNvSpPr txBox="1"/>
      </xdr:nvSpPr>
      <xdr:spPr>
        <a:xfrm>
          <a:off x="8214221" y="4031376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Moderate Growth</a:t>
          </a:r>
          <a:r>
            <a:rPr lang="en-IN"/>
            <a:t> </a:t>
          </a:r>
          <a:endParaRPr lang="en-IN" sz="1100" kern="1200"/>
        </a:p>
      </xdr:txBody>
    </xdr:sp>
    <xdr:clientData/>
  </xdr:twoCellAnchor>
  <xdr:twoCellAnchor>
    <xdr:from>
      <xdr:col>9</xdr:col>
      <xdr:colOff>985473</xdr:colOff>
      <xdr:row>24</xdr:row>
      <xdr:rowOff>53364</xdr:rowOff>
    </xdr:from>
    <xdr:to>
      <xdr:col>10</xdr:col>
      <xdr:colOff>1195198</xdr:colOff>
      <xdr:row>25</xdr:row>
      <xdr:rowOff>117446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EB91D3-E1C5-4F8E-924E-EF3D00756D20}"/>
            </a:ext>
          </a:extLst>
        </xdr:cNvPr>
        <xdr:cNvSpPr txBox="1"/>
      </xdr:nvSpPr>
      <xdr:spPr>
        <a:xfrm>
          <a:off x="8687033" y="4574098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Economic Growth</a:t>
          </a:r>
          <a:r>
            <a:rPr lang="en-IN"/>
            <a:t> </a:t>
          </a:r>
          <a:endParaRPr lang="en-IN" sz="1100" kern="1200"/>
        </a:p>
      </xdr:txBody>
    </xdr:sp>
    <xdr:clientData/>
  </xdr:twoCellAnchor>
  <xdr:twoCellAnchor>
    <xdr:from>
      <xdr:col>9</xdr:col>
      <xdr:colOff>1091268</xdr:colOff>
      <xdr:row>26</xdr:row>
      <xdr:rowOff>60122</xdr:rowOff>
    </xdr:from>
    <xdr:to>
      <xdr:col>11</xdr:col>
      <xdr:colOff>36819</xdr:colOff>
      <xdr:row>27</xdr:row>
      <xdr:rowOff>124204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0086BF-98A0-41FD-A7EA-D90669EA3176}"/>
            </a:ext>
          </a:extLst>
        </xdr:cNvPr>
        <xdr:cNvSpPr txBox="1"/>
      </xdr:nvSpPr>
      <xdr:spPr>
        <a:xfrm>
          <a:off x="8792828" y="4953700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Renewable Policy Focus</a:t>
          </a:r>
          <a:r>
            <a:rPr lang="en-IN"/>
            <a:t> </a:t>
          </a:r>
          <a:endParaRPr lang="en-IN" sz="1100" kern="1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187325</xdr:colOff>
      <xdr:row>8</xdr:row>
      <xdr:rowOff>19050</xdr:rowOff>
    </xdr:from>
    <xdr:to>
      <xdr:col>15</xdr:col>
      <xdr:colOff>492125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73F266-0B43-1A71-4AA7-3D45F4AE3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esa705020/Desktop/Forecasting%20Energy%20Demand.xlsm" TargetMode="External"/><Relationship Id="rId2" Type="http://schemas.openxmlformats.org/officeDocument/2006/relationships/externalLinkPath" Target="file:///C:\Users\sesa705020\Desktop\Forecasting%20Energy%20Demand.xlsm" TargetMode="External"/><Relationship Id="rId1" Type="http://schemas.openxmlformats.org/officeDocument/2006/relationships/externalLinkPath" Target="/Users/sesa705020/Desktop/Forecasting%20Energy%20Deman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ression Brick"/>
      <sheetName val="Regression"/>
      <sheetName val="Plot"/>
    </sheetNames>
    <sheetDataSet>
      <sheetData sheetId="0"/>
      <sheetData sheetId="1"/>
      <sheetData sheetId="2">
        <row r="1">
          <cell r="B1" t="str">
            <v>Consumption</v>
          </cell>
          <cell r="C1" t="str">
            <v>GDP</v>
          </cell>
          <cell r="F1" t="str">
            <v>Population</v>
          </cell>
        </row>
        <row r="2">
          <cell r="A2">
            <v>2014</v>
          </cell>
          <cell r="B2">
            <v>54618</v>
          </cell>
          <cell r="G2">
            <v>64619.5</v>
          </cell>
          <cell r="H2">
            <v>20265.66</v>
          </cell>
        </row>
        <row r="3">
          <cell r="A3">
            <v>2015</v>
          </cell>
          <cell r="B3">
            <v>54617</v>
          </cell>
          <cell r="G3">
            <v>65088.1</v>
          </cell>
          <cell r="H3">
            <v>20715.61</v>
          </cell>
        </row>
        <row r="4">
          <cell r="A4">
            <v>2016</v>
          </cell>
          <cell r="B4">
            <v>56086</v>
          </cell>
          <cell r="G4">
            <v>65607.100000000006</v>
          </cell>
          <cell r="H4">
            <v>21113.57</v>
          </cell>
        </row>
        <row r="5">
          <cell r="A5">
            <v>2017</v>
          </cell>
          <cell r="B5">
            <v>57453</v>
          </cell>
          <cell r="G5">
            <v>65966</v>
          </cell>
          <cell r="H5">
            <v>21674.15</v>
          </cell>
        </row>
        <row r="6">
          <cell r="A6">
            <v>2018</v>
          </cell>
          <cell r="B6">
            <v>57251</v>
          </cell>
          <cell r="G6">
            <v>66288.899999999994</v>
          </cell>
          <cell r="H6">
            <v>21978.41</v>
          </cell>
        </row>
        <row r="7">
          <cell r="A7">
            <v>2019</v>
          </cell>
          <cell r="B7">
            <v>56275</v>
          </cell>
          <cell r="G7">
            <v>66630.7</v>
          </cell>
          <cell r="H7">
            <v>22339.21</v>
          </cell>
        </row>
        <row r="8">
          <cell r="A8">
            <v>2020</v>
          </cell>
          <cell r="B8">
            <v>41712</v>
          </cell>
          <cell r="G8">
            <v>66744.100000000006</v>
          </cell>
          <cell r="H8">
            <v>20024.89</v>
          </cell>
        </row>
        <row r="9">
          <cell r="A9">
            <v>2021</v>
          </cell>
          <cell r="B9">
            <v>44395</v>
          </cell>
          <cell r="G9">
            <v>66983.5</v>
          </cell>
          <cell r="H9">
            <v>21762.03</v>
          </cell>
        </row>
        <row r="10">
          <cell r="A10">
            <v>2022</v>
          </cell>
          <cell r="B10">
            <v>50783</v>
          </cell>
          <cell r="G10">
            <v>67602.8</v>
          </cell>
          <cell r="H10">
            <v>22707.64</v>
          </cell>
        </row>
        <row r="11">
          <cell r="A11">
            <v>2029</v>
          </cell>
          <cell r="B11">
            <v>56139.480227120621</v>
          </cell>
          <cell r="G11">
            <v>69976.505774722726</v>
          </cell>
          <cell r="H11">
            <v>23364.511683898447</v>
          </cell>
        </row>
        <row r="12">
          <cell r="A12">
            <v>2050</v>
          </cell>
          <cell r="B12">
            <v>63449.844641313532</v>
          </cell>
          <cell r="G12">
            <v>77176.840783115986</v>
          </cell>
          <cell r="H12">
            <v>27399.690894983942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A450-7FE5-4EF9-80CC-041585A2E344}">
  <dimension ref="C6:H18"/>
  <sheetViews>
    <sheetView zoomScale="88" workbookViewId="0">
      <selection activeCell="E22" sqref="E22"/>
    </sheetView>
  </sheetViews>
  <sheetFormatPr defaultRowHeight="14.5" x14ac:dyDescent="0.35"/>
  <cols>
    <col min="4" max="4" width="12.08984375" bestFit="1" customWidth="1"/>
    <col min="7" max="7" width="17" bestFit="1" customWidth="1"/>
    <col min="8" max="8" width="11.81640625" bestFit="1" customWidth="1"/>
  </cols>
  <sheetData>
    <row r="6" spans="3:8" ht="15" thickBot="1" x14ac:dyDescent="0.4"/>
    <row r="7" spans="3:8" ht="15" thickBot="1" x14ac:dyDescent="0.4">
      <c r="C7" s="10" t="s">
        <v>0</v>
      </c>
      <c r="D7" s="10" t="s">
        <v>1</v>
      </c>
      <c r="E7" s="10" t="s">
        <v>2</v>
      </c>
      <c r="F7" s="10" t="s">
        <v>3</v>
      </c>
      <c r="G7" s="10" t="s">
        <v>4</v>
      </c>
      <c r="H7" s="11" t="s">
        <v>5</v>
      </c>
    </row>
    <row r="8" spans="3:8" x14ac:dyDescent="0.35">
      <c r="C8" s="5">
        <v>2014</v>
      </c>
      <c r="D8" s="5">
        <v>54618</v>
      </c>
      <c r="E8" s="5">
        <v>2026566</v>
      </c>
      <c r="F8" s="5">
        <v>10.7</v>
      </c>
      <c r="G8" s="5">
        <v>9.31</v>
      </c>
      <c r="H8" s="3">
        <v>64619500</v>
      </c>
    </row>
    <row r="9" spans="3:8" x14ac:dyDescent="0.35">
      <c r="C9" s="5">
        <v>2015</v>
      </c>
      <c r="D9" s="5">
        <v>54617</v>
      </c>
      <c r="E9" s="5">
        <v>2071561</v>
      </c>
      <c r="F9" s="5">
        <v>14.2</v>
      </c>
      <c r="G9" s="5">
        <v>9.33</v>
      </c>
      <c r="H9" s="3">
        <v>65088100</v>
      </c>
    </row>
    <row r="10" spans="3:8" x14ac:dyDescent="0.35">
      <c r="C10" s="5">
        <v>2016</v>
      </c>
      <c r="D10" s="5">
        <v>56086</v>
      </c>
      <c r="E10" s="5">
        <v>2111357</v>
      </c>
      <c r="F10" s="5">
        <v>14.5</v>
      </c>
      <c r="G10" s="5">
        <v>9.35</v>
      </c>
      <c r="H10" s="3">
        <v>65607100</v>
      </c>
    </row>
    <row r="11" spans="3:8" x14ac:dyDescent="0.35">
      <c r="C11" s="5">
        <v>2017</v>
      </c>
      <c r="D11" s="5">
        <v>57453</v>
      </c>
      <c r="E11" s="5">
        <v>2167415</v>
      </c>
      <c r="F11" s="5">
        <v>20.3</v>
      </c>
      <c r="G11" s="5">
        <v>9.3699999999999992</v>
      </c>
      <c r="H11" s="3">
        <v>65966000</v>
      </c>
    </row>
    <row r="12" spans="3:8" x14ac:dyDescent="0.35">
      <c r="C12" s="5">
        <v>2018</v>
      </c>
      <c r="D12" s="5">
        <v>57251</v>
      </c>
      <c r="E12" s="5">
        <v>2197841</v>
      </c>
      <c r="F12" s="5">
        <v>27.6</v>
      </c>
      <c r="G12" s="5">
        <v>9.3800000000000008</v>
      </c>
      <c r="H12" s="3">
        <v>66288900</v>
      </c>
    </row>
    <row r="13" spans="3:8" x14ac:dyDescent="0.35">
      <c r="C13" s="5">
        <v>2019</v>
      </c>
      <c r="D13" s="5">
        <v>56275</v>
      </c>
      <c r="E13" s="5">
        <v>2233921</v>
      </c>
      <c r="F13" s="5">
        <v>31.5</v>
      </c>
      <c r="G13" s="5">
        <v>9.39</v>
      </c>
      <c r="H13" s="3">
        <v>66630700</v>
      </c>
    </row>
    <row r="14" spans="3:8" x14ac:dyDescent="0.35">
      <c r="C14" s="5">
        <v>2020</v>
      </c>
      <c r="D14" s="5">
        <v>41712</v>
      </c>
      <c r="E14" s="5">
        <v>2002489</v>
      </c>
      <c r="F14" s="5">
        <v>37.5</v>
      </c>
      <c r="G14" s="5">
        <v>9.41</v>
      </c>
      <c r="H14" s="3">
        <v>66744100</v>
      </c>
    </row>
    <row r="15" spans="3:8" x14ac:dyDescent="0.35">
      <c r="C15" s="5">
        <v>2021</v>
      </c>
      <c r="D15" s="5">
        <v>44395</v>
      </c>
      <c r="E15" s="5">
        <v>2176203</v>
      </c>
      <c r="F15" s="5">
        <v>33.700000000000003</v>
      </c>
      <c r="G15" s="5">
        <v>9.41</v>
      </c>
      <c r="H15" s="3">
        <v>66983500</v>
      </c>
    </row>
    <row r="16" spans="3:8" ht="15" thickBot="1" x14ac:dyDescent="0.4">
      <c r="C16" s="5">
        <v>2022</v>
      </c>
      <c r="D16" s="5">
        <v>50783</v>
      </c>
      <c r="E16" s="5">
        <v>2270764</v>
      </c>
      <c r="F16" s="5">
        <v>37.5</v>
      </c>
      <c r="G16" s="5">
        <v>9.42</v>
      </c>
      <c r="H16" s="3">
        <v>67602800</v>
      </c>
    </row>
    <row r="17" spans="3:8" ht="15" thickBot="1" x14ac:dyDescent="0.4">
      <c r="C17" s="12">
        <v>2029</v>
      </c>
      <c r="D17" s="13">
        <f>_xlfn.FORECAST.LINEAR(E17,D8:D16,E8:E16)</f>
        <v>56139.480227120621</v>
      </c>
      <c r="E17" s="14">
        <f>_xlfn.FORECAST.ETS(2029,E8:E16,C8:C16)</f>
        <v>2336451.1683898447</v>
      </c>
      <c r="F17" s="14">
        <f>_xlfn.FORECAST.ETS(2029,F8:F16,C8:C16)</f>
        <v>66.392940892087097</v>
      </c>
      <c r="G17" s="14">
        <f>_xlfn.FORECAST.ETS(2029,G8:G16,C8:C16)</f>
        <v>9.5161732011692095</v>
      </c>
      <c r="H17" s="15">
        <f>_xlfn.FORECAST.ETS(2029,H8:H16,C8:C16)</f>
        <v>69976505.774722725</v>
      </c>
    </row>
    <row r="18" spans="3:8" ht="15" thickBot="1" x14ac:dyDescent="0.4">
      <c r="C18" s="6">
        <v>2050</v>
      </c>
      <c r="D18" s="7">
        <f>_xlfn.FORECAST.LINEAR(E18,D8:D16,E8:E16)</f>
        <v>63449.844641313532</v>
      </c>
      <c r="E18" s="8">
        <f>_xlfn.FORECAST.ETS(2050,E8:E16,C8:C16)</f>
        <v>2739969.0894983942</v>
      </c>
      <c r="F18" s="9">
        <f>_xlfn.FORECAST.ETS(2050,F8:F16,C8:C16)</f>
        <v>144.35629006202876</v>
      </c>
      <c r="G18" s="8">
        <f>_xlfn.FORECAST.ETS(2050,G8:G16,C8:C16)</f>
        <v>9.803198141038008</v>
      </c>
      <c r="H18" s="4">
        <f>_xlfn.FORECAST.ETS(2050,H8:H16,C8:C16)</f>
        <v>77176840.783115983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25E1-E76B-4BF3-87F9-8F92250E474E}">
  <dimension ref="A1:F12"/>
  <sheetViews>
    <sheetView zoomScale="80" workbookViewId="0">
      <selection activeCell="B29" sqref="B29"/>
    </sheetView>
  </sheetViews>
  <sheetFormatPr defaultRowHeight="14.5" x14ac:dyDescent="0.35"/>
  <cols>
    <col min="1" max="4" width="16.08984375" customWidth="1"/>
    <col min="5" max="5" width="19.36328125" customWidth="1"/>
    <col min="6" max="6" width="16.08984375" customWidth="1"/>
  </cols>
  <sheetData>
    <row r="1" spans="1:6" ht="15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x14ac:dyDescent="0.35">
      <c r="A2" s="5">
        <v>2014</v>
      </c>
      <c r="B2" s="5">
        <v>54618</v>
      </c>
      <c r="C2" s="5">
        <v>2026566</v>
      </c>
      <c r="D2" s="5">
        <v>10.7</v>
      </c>
      <c r="E2" s="5">
        <v>9.31</v>
      </c>
      <c r="F2" s="3">
        <v>64619500</v>
      </c>
    </row>
    <row r="3" spans="1:6" x14ac:dyDescent="0.35">
      <c r="A3" s="5">
        <v>2015</v>
      </c>
      <c r="B3" s="5">
        <v>54617</v>
      </c>
      <c r="C3" s="5">
        <v>2071561</v>
      </c>
      <c r="D3" s="5">
        <v>14.2</v>
      </c>
      <c r="E3" s="5">
        <v>9.33</v>
      </c>
      <c r="F3" s="3">
        <v>65088100</v>
      </c>
    </row>
    <row r="4" spans="1:6" x14ac:dyDescent="0.35">
      <c r="A4" s="5">
        <v>2016</v>
      </c>
      <c r="B4" s="5">
        <v>56086</v>
      </c>
      <c r="C4" s="5">
        <v>2111357</v>
      </c>
      <c r="D4" s="5">
        <v>14.5</v>
      </c>
      <c r="E4" s="5">
        <v>9.35</v>
      </c>
      <c r="F4" s="3">
        <v>65607100</v>
      </c>
    </row>
    <row r="5" spans="1:6" x14ac:dyDescent="0.35">
      <c r="A5" s="5">
        <v>2017</v>
      </c>
      <c r="B5" s="5">
        <v>57453</v>
      </c>
      <c r="C5" s="5">
        <v>2167415</v>
      </c>
      <c r="D5" s="5">
        <v>20.3</v>
      </c>
      <c r="E5" s="5">
        <v>9.3699999999999992</v>
      </c>
      <c r="F5" s="3">
        <v>65966000</v>
      </c>
    </row>
    <row r="6" spans="1:6" x14ac:dyDescent="0.35">
      <c r="A6" s="5">
        <v>2018</v>
      </c>
      <c r="B6" s="5">
        <v>57251</v>
      </c>
      <c r="C6" s="5">
        <v>2197841</v>
      </c>
      <c r="D6" s="5">
        <v>27.6</v>
      </c>
      <c r="E6" s="5">
        <v>9.3800000000000008</v>
      </c>
      <c r="F6" s="3">
        <v>66288900</v>
      </c>
    </row>
    <row r="7" spans="1:6" x14ac:dyDescent="0.35">
      <c r="A7" s="5">
        <v>2019</v>
      </c>
      <c r="B7" s="5">
        <v>56275</v>
      </c>
      <c r="C7" s="5">
        <v>2233921</v>
      </c>
      <c r="D7" s="5">
        <v>31.5</v>
      </c>
      <c r="E7" s="5">
        <v>9.39</v>
      </c>
      <c r="F7" s="3">
        <v>66630700</v>
      </c>
    </row>
    <row r="8" spans="1:6" x14ac:dyDescent="0.35">
      <c r="A8" s="5">
        <v>2020</v>
      </c>
      <c r="B8" s="5">
        <v>41712</v>
      </c>
      <c r="C8" s="5">
        <v>2002489</v>
      </c>
      <c r="D8" s="5">
        <v>37.5</v>
      </c>
      <c r="E8" s="5">
        <v>9.41</v>
      </c>
      <c r="F8" s="3">
        <v>66744100</v>
      </c>
    </row>
    <row r="9" spans="1:6" x14ac:dyDescent="0.35">
      <c r="A9" s="5">
        <v>2021</v>
      </c>
      <c r="B9" s="5">
        <v>44395</v>
      </c>
      <c r="C9" s="5">
        <v>2176203</v>
      </c>
      <c r="D9" s="5">
        <v>33.700000000000003</v>
      </c>
      <c r="E9" s="5">
        <v>9.41</v>
      </c>
      <c r="F9" s="3">
        <v>66983500</v>
      </c>
    </row>
    <row r="10" spans="1:6" ht="15" thickBot="1" x14ac:dyDescent="0.4">
      <c r="A10" s="5">
        <v>2022</v>
      </c>
      <c r="B10" s="5">
        <v>50783</v>
      </c>
      <c r="C10" s="5">
        <v>2270764</v>
      </c>
      <c r="D10" s="5">
        <v>37.5</v>
      </c>
      <c r="E10" s="5">
        <v>9.42</v>
      </c>
      <c r="F10" s="3">
        <v>67602800</v>
      </c>
    </row>
    <row r="11" spans="1:6" ht="15" thickBot="1" x14ac:dyDescent="0.4">
      <c r="A11" s="12">
        <v>2029</v>
      </c>
      <c r="B11" s="13">
        <f>_xlfn.FORECAST.LINEAR(C11,B2:B10,C2:C10)</f>
        <v>56139.480227120621</v>
      </c>
      <c r="C11" s="14">
        <f>_xlfn.FORECAST.ETS(2029,C2:C10,A2:A10)</f>
        <v>2336451.1683898447</v>
      </c>
      <c r="D11" s="14">
        <f>_xlfn.FORECAST.ETS(2029,D2:D10,A2:A10)</f>
        <v>66.392940892087097</v>
      </c>
      <c r="E11" s="14">
        <f>_xlfn.FORECAST.ETS(2029,E2:E10,A2:A10)</f>
        <v>9.5161732011692095</v>
      </c>
      <c r="F11" s="15">
        <f>_xlfn.FORECAST.ETS(2029,F2:F10,A2:A10)</f>
        <v>69976505.774722725</v>
      </c>
    </row>
    <row r="12" spans="1:6" ht="15" thickBot="1" x14ac:dyDescent="0.4">
      <c r="A12" s="6">
        <v>2050</v>
      </c>
      <c r="B12" s="7">
        <f>_xlfn.FORECAST.LINEAR(C12,B2:B10,C2:C10)</f>
        <v>63449.844641313532</v>
      </c>
      <c r="C12" s="8">
        <f>_xlfn.FORECAST.ETS(2050,C2:C10,A2:A10)</f>
        <v>2739969.0894983942</v>
      </c>
      <c r="D12" s="9">
        <f>_xlfn.FORECAST.ETS(2050,D2:D10,A2:A10)</f>
        <v>144.35629006202876</v>
      </c>
      <c r="E12" s="8">
        <f>_xlfn.FORECAST.ETS(2050,E2:E10,A2:A10)</f>
        <v>9.803198141038008</v>
      </c>
      <c r="F12" s="4">
        <f>_xlfn.FORECAST.ETS(2050,F2:F10,A2:A10)</f>
        <v>77176840.783115983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94BF-329D-49F7-9E81-1C608B52E7C3}">
  <dimension ref="A1:K36"/>
  <sheetViews>
    <sheetView zoomScale="67" zoomScaleNormal="94" workbookViewId="0">
      <selection activeCell="F19" sqref="F19"/>
    </sheetView>
  </sheetViews>
  <sheetFormatPr defaultRowHeight="14.5" x14ac:dyDescent="0.35"/>
  <cols>
    <col min="1" max="4" width="12.7265625" style="1" customWidth="1"/>
    <col min="5" max="5" width="17.90625" style="1" customWidth="1"/>
    <col min="6" max="6" width="12.7265625" style="1" customWidth="1"/>
    <col min="7" max="7" width="23" bestFit="1" customWidth="1"/>
    <col min="8" max="8" width="11.90625" bestFit="1" customWidth="1"/>
    <col min="9" max="9" width="10.81640625" bestFit="1" customWidth="1"/>
    <col min="10" max="10" width="39" customWidth="1"/>
    <col min="11" max="11" width="34.90625" customWidth="1"/>
  </cols>
  <sheetData>
    <row r="1" spans="1:11" ht="15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27" t="s">
        <v>19</v>
      </c>
    </row>
    <row r="2" spans="1:11" ht="15" thickBot="1" x14ac:dyDescent="0.4">
      <c r="A2" s="5">
        <v>2014</v>
      </c>
      <c r="B2" s="5">
        <v>54618</v>
      </c>
      <c r="C2" s="5">
        <v>2026566</v>
      </c>
      <c r="D2" s="5">
        <v>10.7</v>
      </c>
      <c r="E2" s="5">
        <v>9.31</v>
      </c>
      <c r="F2" s="3">
        <v>64619500</v>
      </c>
      <c r="G2">
        <f>$A$18*F2+$B$18*E2+$C$18*D2+$D$18*C2+$E$18</f>
        <v>55629.8654568895</v>
      </c>
      <c r="H2">
        <f>$A$18*F2+$B$18*E2+$D$18*C2+$E$18</f>
        <v>55965.002498440677</v>
      </c>
      <c r="J2" s="95" t="s">
        <v>6</v>
      </c>
      <c r="K2" s="96"/>
    </row>
    <row r="3" spans="1:11" ht="15" thickBot="1" x14ac:dyDescent="0.4">
      <c r="A3" s="5">
        <v>2015</v>
      </c>
      <c r="B3" s="5">
        <v>54617</v>
      </c>
      <c r="C3" s="5">
        <v>2071561</v>
      </c>
      <c r="D3" s="5">
        <v>14.2</v>
      </c>
      <c r="E3" s="5">
        <v>9.33</v>
      </c>
      <c r="F3" s="3">
        <v>65088100</v>
      </c>
      <c r="G3">
        <f t="shared" ref="G3:G10" si="0">$A$18*F3+$B$18*E3+$C$18*D3+$D$18*C3+$E$18</f>
        <v>55552.673466506763</v>
      </c>
      <c r="H3">
        <f t="shared" ref="H3:H10" si="1">$A$18*F3+$B$18*E3+$D$18*C3+$E$18</f>
        <v>55997.434773985937</v>
      </c>
      <c r="J3" s="97" t="s">
        <v>7</v>
      </c>
      <c r="K3" s="98"/>
    </row>
    <row r="4" spans="1:11" ht="15" thickBot="1" x14ac:dyDescent="0.4">
      <c r="A4" s="5">
        <v>2016</v>
      </c>
      <c r="B4" s="5">
        <v>56086</v>
      </c>
      <c r="C4" s="5">
        <v>2111357</v>
      </c>
      <c r="D4" s="5">
        <v>14.5</v>
      </c>
      <c r="E4" s="5">
        <v>9.35</v>
      </c>
      <c r="F4" s="3">
        <v>65607100</v>
      </c>
      <c r="G4">
        <f t="shared" si="0"/>
        <v>54625.802629607962</v>
      </c>
      <c r="H4">
        <f t="shared" si="1"/>
        <v>55079.960302738065</v>
      </c>
    </row>
    <row r="5" spans="1:11" x14ac:dyDescent="0.35">
      <c r="A5" s="5">
        <v>2017</v>
      </c>
      <c r="B5" s="5">
        <v>57453</v>
      </c>
      <c r="C5" s="5">
        <v>2167415</v>
      </c>
      <c r="D5" s="5">
        <v>20.3</v>
      </c>
      <c r="E5" s="5">
        <v>9.3699999999999992</v>
      </c>
      <c r="F5" s="3">
        <v>65966000</v>
      </c>
      <c r="G5">
        <f t="shared" si="0"/>
        <v>56526.361644219374</v>
      </c>
      <c r="H5">
        <f t="shared" si="1"/>
        <v>57162.182386601577</v>
      </c>
      <c r="J5" s="81" t="s">
        <v>8</v>
      </c>
      <c r="K5" s="83"/>
    </row>
    <row r="6" spans="1:11" ht="15" thickBot="1" x14ac:dyDescent="0.4">
      <c r="A6" s="5">
        <v>2018</v>
      </c>
      <c r="B6" s="5">
        <v>57251</v>
      </c>
      <c r="C6" s="5">
        <v>2197841</v>
      </c>
      <c r="D6" s="5">
        <v>27.6</v>
      </c>
      <c r="E6" s="5">
        <v>9.3800000000000008</v>
      </c>
      <c r="F6" s="3">
        <v>66288900</v>
      </c>
      <c r="G6">
        <f t="shared" si="0"/>
        <v>55842.172377244337</v>
      </c>
      <c r="H6">
        <f t="shared" si="1"/>
        <v>56706.63801713346</v>
      </c>
      <c r="J6" s="84"/>
      <c r="K6" s="86"/>
    </row>
    <row r="7" spans="1:11" ht="15" thickBot="1" x14ac:dyDescent="0.4">
      <c r="A7" s="5">
        <v>2019</v>
      </c>
      <c r="B7" s="5">
        <v>56275</v>
      </c>
      <c r="C7" s="5">
        <v>2233921</v>
      </c>
      <c r="D7" s="5">
        <v>31.5</v>
      </c>
      <c r="E7" s="5">
        <v>9.39</v>
      </c>
      <c r="F7" s="3">
        <v>66630700</v>
      </c>
      <c r="G7">
        <f t="shared" si="0"/>
        <v>55442.008329106902</v>
      </c>
      <c r="H7">
        <f t="shared" si="1"/>
        <v>56428.626722458575</v>
      </c>
      <c r="J7" s="21" t="s">
        <v>9</v>
      </c>
      <c r="K7" s="22" t="s">
        <v>1</v>
      </c>
    </row>
    <row r="8" spans="1:11" x14ac:dyDescent="0.35">
      <c r="A8" s="5">
        <v>2020</v>
      </c>
      <c r="B8" s="5">
        <v>41712</v>
      </c>
      <c r="C8" s="5">
        <v>2002489</v>
      </c>
      <c r="D8" s="5">
        <v>37.5</v>
      </c>
      <c r="E8" s="5">
        <v>9.41</v>
      </c>
      <c r="F8" s="3">
        <v>66744100</v>
      </c>
      <c r="G8">
        <f t="shared" si="0"/>
        <v>40004.836410258664</v>
      </c>
      <c r="H8">
        <f t="shared" si="1"/>
        <v>41179.382116629684</v>
      </c>
      <c r="J8" s="23" t="s">
        <v>2</v>
      </c>
      <c r="K8" s="24">
        <v>56139.480227120621</v>
      </c>
    </row>
    <row r="9" spans="1:11" x14ac:dyDescent="0.35">
      <c r="A9" s="5">
        <v>2021</v>
      </c>
      <c r="B9" s="5">
        <v>44395</v>
      </c>
      <c r="C9" s="5">
        <v>2176203</v>
      </c>
      <c r="D9" s="5">
        <v>33.700000000000003</v>
      </c>
      <c r="E9" s="5">
        <v>9.41</v>
      </c>
      <c r="F9" s="3">
        <v>66983500</v>
      </c>
      <c r="G9">
        <f t="shared" si="0"/>
        <v>49539.44124074938</v>
      </c>
      <c r="H9">
        <f t="shared" si="1"/>
        <v>50594.966315541475</v>
      </c>
      <c r="J9" s="5" t="s">
        <v>3</v>
      </c>
      <c r="K9" s="3">
        <v>38523</v>
      </c>
    </row>
    <row r="10" spans="1:11" ht="15" thickBot="1" x14ac:dyDescent="0.4">
      <c r="A10" s="5">
        <v>2022</v>
      </c>
      <c r="B10" s="5">
        <v>50783</v>
      </c>
      <c r="C10" s="5">
        <v>2270764</v>
      </c>
      <c r="D10" s="5">
        <v>37.5</v>
      </c>
      <c r="E10" s="5">
        <v>9.42</v>
      </c>
      <c r="F10" s="3">
        <v>67602800</v>
      </c>
      <c r="G10">
        <f t="shared" si="0"/>
        <v>50026.838445417932</v>
      </c>
      <c r="H10">
        <f t="shared" si="1"/>
        <v>51201.384151789011</v>
      </c>
      <c r="J10" s="5" t="s">
        <v>10</v>
      </c>
      <c r="K10" s="3">
        <v>40320</v>
      </c>
    </row>
    <row r="11" spans="1:11" ht="15" thickBot="1" x14ac:dyDescent="0.4">
      <c r="A11" s="12">
        <v>2029</v>
      </c>
      <c r="B11" s="13">
        <f>_xlfn.FORECAST.LINEAR(C11,B2:B10,C2:C10)</f>
        <v>56139.480227120621</v>
      </c>
      <c r="C11" s="14">
        <f>_xlfn.FORECAST.ETS(2029,C2:C10,A2:A10)</f>
        <v>2336451.1683898447</v>
      </c>
      <c r="D11" s="14">
        <f>_xlfn.FORECAST.ETS(2029,D2:D10,A2:A10)</f>
        <v>66.392940892087097</v>
      </c>
      <c r="E11" s="14">
        <f>_xlfn.FORECAST.ETS(2029,E2:E10,A2:A10)</f>
        <v>9.5161732011692095</v>
      </c>
      <c r="F11" s="15">
        <f>_xlfn.FORECAST.ETS(2029,F2:F10,A2:A10)</f>
        <v>69976505.774722725</v>
      </c>
      <c r="J11" s="25" t="s">
        <v>5</v>
      </c>
      <c r="K11" s="20">
        <v>41192</v>
      </c>
    </row>
    <row r="12" spans="1:11" ht="15" thickBot="1" x14ac:dyDescent="0.4">
      <c r="A12" s="6">
        <v>2050</v>
      </c>
      <c r="B12" s="7">
        <f>_xlfn.FORECAST.LINEAR(C12,B2:B10,C2:C10)</f>
        <v>63449.844641313532</v>
      </c>
      <c r="C12" s="8">
        <f>_xlfn.FORECAST.ETS(2050,C2:C10,A2:A10)</f>
        <v>2739969.0894983942</v>
      </c>
      <c r="D12" s="9">
        <f>_xlfn.FORECAST.ETS(2050,D2:D10,A2:A10)</f>
        <v>144.35629006202876</v>
      </c>
      <c r="E12" s="8">
        <f>_xlfn.FORECAST.ETS(2050,E2:E10,A2:A10)</f>
        <v>9.803198141038008</v>
      </c>
      <c r="F12" s="4">
        <f>_xlfn.FORECAST.ETS(2050,F2:F10,A2:A10)</f>
        <v>77176840.783115983</v>
      </c>
    </row>
    <row r="13" spans="1:11" ht="14.5" customHeight="1" x14ac:dyDescent="0.35">
      <c r="J13" s="89" t="s">
        <v>11</v>
      </c>
      <c r="K13" s="90"/>
    </row>
    <row r="14" spans="1:11" x14ac:dyDescent="0.35">
      <c r="J14" s="91"/>
      <c r="K14" s="92"/>
    </row>
    <row r="15" spans="1:11" ht="15" thickBot="1" x14ac:dyDescent="0.4">
      <c r="G15" t="s">
        <v>16</v>
      </c>
      <c r="J15" s="91"/>
      <c r="K15" s="92"/>
    </row>
    <row r="16" spans="1:11" x14ac:dyDescent="0.35">
      <c r="A16" s="81" t="s">
        <v>15</v>
      </c>
      <c r="B16" s="82"/>
      <c r="C16" s="82"/>
      <c r="D16" s="82"/>
      <c r="E16" s="83"/>
      <c r="G16" t="s">
        <v>17</v>
      </c>
      <c r="J16" s="91"/>
      <c r="K16" s="92"/>
    </row>
    <row r="17" spans="1:11" ht="15" thickBot="1" x14ac:dyDescent="0.4">
      <c r="A17" s="84"/>
      <c r="B17" s="85"/>
      <c r="C17" s="85"/>
      <c r="D17" s="85"/>
      <c r="E17" s="86"/>
      <c r="J17" s="93"/>
      <c r="K17" s="94"/>
    </row>
    <row r="18" spans="1:11" ht="15" thickBot="1" x14ac:dyDescent="0.4">
      <c r="A18" s="2" cm="1">
        <f t="array" ref="A18:E22">LINEST(B2:B10,C2:F10,TRUE,TRUE)</f>
        <v>-1.1606249552848389E-2</v>
      </c>
      <c r="B18" s="1">
        <v>115631.39316642127</v>
      </c>
      <c r="C18" s="1">
        <v>-31.321218836560348</v>
      </c>
      <c r="D18" s="1">
        <v>7.0196531896471973E-2</v>
      </c>
      <c r="E18" s="3">
        <v>-412831.12975996058</v>
      </c>
    </row>
    <row r="19" spans="1:11" ht="15" thickBot="1" x14ac:dyDescent="0.4">
      <c r="A19" s="2">
        <v>1.1039526311411359E-2</v>
      </c>
      <c r="B19" s="1">
        <v>249006.58065942655</v>
      </c>
      <c r="C19" s="1">
        <v>458.56220003160831</v>
      </c>
      <c r="D19" s="1">
        <v>2.3982432409183331E-2</v>
      </c>
      <c r="E19" s="3">
        <v>1766428.5609513591</v>
      </c>
      <c r="J19" s="87" t="s">
        <v>12</v>
      </c>
      <c r="K19" s="88"/>
    </row>
    <row r="20" spans="1:11" x14ac:dyDescent="0.35">
      <c r="A20" s="2">
        <v>0.86007657998152298</v>
      </c>
      <c r="B20" s="1">
        <v>3062.691848455433</v>
      </c>
      <c r="C20" s="1" t="e">
        <v>#N/A</v>
      </c>
      <c r="D20" s="1" t="e">
        <v>#N/A</v>
      </c>
      <c r="E20" s="3" t="e">
        <v>#N/A</v>
      </c>
    </row>
    <row r="21" spans="1:11" x14ac:dyDescent="0.35">
      <c r="A21" s="2">
        <v>6.1467664231473851</v>
      </c>
      <c r="B21" s="1">
        <v>4</v>
      </c>
      <c r="C21" s="1" t="e">
        <v>#N/A</v>
      </c>
      <c r="D21" s="1" t="e">
        <v>#N/A</v>
      </c>
      <c r="E21" s="3" t="e">
        <v>#N/A</v>
      </c>
    </row>
    <row r="22" spans="1:11" ht="15" thickBot="1" x14ac:dyDescent="0.4">
      <c r="A22" s="18">
        <v>230628676.56561857</v>
      </c>
      <c r="B22" s="19">
        <v>37520325.434381425</v>
      </c>
      <c r="C22" s="19" t="e">
        <v>#N/A</v>
      </c>
      <c r="D22" s="19" t="e">
        <v>#N/A</v>
      </c>
      <c r="E22" s="20" t="e">
        <v>#N/A</v>
      </c>
      <c r="G22" cm="1">
        <f t="array" ref="G22:H26">LINEST(B2:B10,C2:C10,TRUE,TRUE)</f>
        <v>1.8116579293702199E-2</v>
      </c>
      <c r="H22">
        <v>13810.977369122847</v>
      </c>
      <c r="J22" cm="1">
        <f t="array" ref="J22:K26">LINEST(B2:B10,D2:D10,TRUE,TRUE)</f>
        <v>-341.81912611832018</v>
      </c>
      <c r="K22">
        <v>61217.094576879754</v>
      </c>
    </row>
    <row r="23" spans="1:11" x14ac:dyDescent="0.35">
      <c r="G23">
        <v>2.2615333469103979E-2</v>
      </c>
      <c r="H23">
        <v>48432.349758807337</v>
      </c>
      <c r="J23">
        <v>162.33077953411097</v>
      </c>
      <c r="K23">
        <v>4409.4616417892857</v>
      </c>
    </row>
    <row r="24" spans="1:11" ht="15" thickBot="1" x14ac:dyDescent="0.4">
      <c r="D24" s="26" cm="1">
        <f t="array" ref="D24:E28">LINEST(B2:B10,E2:E10,TRUE,TRUE)</f>
        <v>-86481.453154875839</v>
      </c>
      <c r="E24" s="1">
        <v>863292.24474187486</v>
      </c>
      <c r="G24">
        <v>8.3976006153325788E-2</v>
      </c>
      <c r="H24">
        <v>5923.6923784077189</v>
      </c>
      <c r="J24">
        <v>0.38778822020703119</v>
      </c>
      <c r="K24">
        <v>4842.7261767982409</v>
      </c>
    </row>
    <row r="25" spans="1:11" ht="15" thickBot="1" x14ac:dyDescent="0.4">
      <c r="A25" s="14" t="s">
        <v>13</v>
      </c>
      <c r="B25" s="16">
        <f>A20</f>
        <v>0.86007657998152298</v>
      </c>
      <c r="D25" s="1">
        <v>47197.233760576826</v>
      </c>
      <c r="E25" s="1">
        <v>442451.09658876515</v>
      </c>
      <c r="G25">
        <v>0.64172122894378336</v>
      </c>
      <c r="H25">
        <v>7</v>
      </c>
      <c r="J25">
        <v>4.4339518301447658</v>
      </c>
      <c r="K25">
        <v>7</v>
      </c>
    </row>
    <row r="26" spans="1:11" ht="15" thickBot="1" x14ac:dyDescent="0.4">
      <c r="A26" s="8" t="s">
        <v>14</v>
      </c>
      <c r="B26" s="17">
        <f>B20/AVERAGE(B2:B10)</f>
        <v>5.8251921291867743E-2</v>
      </c>
      <c r="D26" s="26">
        <v>0.32415964430472405</v>
      </c>
      <c r="E26" s="1">
        <v>5088.1643741840908</v>
      </c>
      <c r="G26">
        <v>22518082.241960168</v>
      </c>
      <c r="H26">
        <v>245630919.75803983</v>
      </c>
      <c r="J26">
        <v>103985024.23587164</v>
      </c>
      <c r="K26">
        <v>164163977.76412836</v>
      </c>
    </row>
    <row r="27" spans="1:11" x14ac:dyDescent="0.35">
      <c r="D27" s="1">
        <v>3.3574756094561651</v>
      </c>
      <c r="E27" s="1">
        <v>7</v>
      </c>
    </row>
    <row r="28" spans="1:11" x14ac:dyDescent="0.35">
      <c r="D28" s="1">
        <v>86923085.108986735</v>
      </c>
      <c r="E28" s="1">
        <v>181225916.89101326</v>
      </c>
      <c r="G28">
        <f>_xlfn.FORECAST.LINEAR(C11,B2:B10,F2:F10)</f>
        <v>243502.92624329566</v>
      </c>
    </row>
    <row r="31" spans="1:11" x14ac:dyDescent="0.35">
      <c r="I31" cm="1">
        <f t="array" ref="I31:J35">LINEST(B2:B10,F2:F10,TRUE,TRUE)</f>
        <v>-2.9909981575220374E-3</v>
      </c>
      <c r="J31">
        <v>250491.24738308991</v>
      </c>
    </row>
    <row r="32" spans="1:11" x14ac:dyDescent="0.35">
      <c r="C32" s="1" cm="1">
        <f t="array" ref="C32:G36">LINEST(B2:B10,C2:F10,TRUE,TRUE)</f>
        <v>-1.1606249552848389E-2</v>
      </c>
      <c r="D32" s="1">
        <v>115631.39316642127</v>
      </c>
      <c r="E32" s="1">
        <v>-31.321218836560348</v>
      </c>
      <c r="F32" s="1">
        <v>7.0196531896471973E-2</v>
      </c>
      <c r="G32">
        <v>-412831.12975996058</v>
      </c>
      <c r="I32">
        <v>2.0098938799573171E-3</v>
      </c>
      <c r="J32">
        <v>133006.98991701507</v>
      </c>
    </row>
    <row r="33" spans="3:10" x14ac:dyDescent="0.35">
      <c r="C33" s="1">
        <v>1.1039526311411359E-2</v>
      </c>
      <c r="D33" s="1">
        <v>249006.58065942655</v>
      </c>
      <c r="E33" s="1">
        <v>458.56220003160831</v>
      </c>
      <c r="F33" s="1">
        <v>2.3982432409183331E-2</v>
      </c>
      <c r="G33">
        <v>1766428.5609513591</v>
      </c>
      <c r="I33">
        <v>0.24033209565590119</v>
      </c>
      <c r="J33">
        <v>5394.4970691212138</v>
      </c>
    </row>
    <row r="34" spans="3:10" x14ac:dyDescent="0.35">
      <c r="C34" s="1">
        <v>0.86007657998152298</v>
      </c>
      <c r="D34" s="1">
        <v>3062.691848455433</v>
      </c>
      <c r="E34" s="1" t="e">
        <v>#N/A</v>
      </c>
      <c r="F34" s="1" t="e">
        <v>#N/A</v>
      </c>
      <c r="G34" t="e">
        <v>#N/A</v>
      </c>
      <c r="I34">
        <v>2.2145527801965468</v>
      </c>
      <c r="J34">
        <v>7</v>
      </c>
    </row>
    <row r="35" spans="3:10" x14ac:dyDescent="0.35">
      <c r="C35" s="1">
        <v>6.1467664231473851</v>
      </c>
      <c r="D35" s="1">
        <v>4</v>
      </c>
      <c r="E35" s="1" t="e">
        <v>#N/A</v>
      </c>
      <c r="F35" s="1" t="e">
        <v>#N/A</v>
      </c>
      <c r="G35" t="e">
        <v>#N/A</v>
      </c>
      <c r="I35">
        <v>64444811.598698437</v>
      </c>
      <c r="J35">
        <v>203704190.40130156</v>
      </c>
    </row>
    <row r="36" spans="3:10" x14ac:dyDescent="0.35">
      <c r="C36" s="1">
        <v>230628676.56561857</v>
      </c>
      <c r="D36" s="1">
        <v>37520325.434381425</v>
      </c>
      <c r="E36" s="1" t="e">
        <v>#N/A</v>
      </c>
      <c r="F36" s="1" t="e">
        <v>#N/A</v>
      </c>
      <c r="G36" t="e">
        <v>#N/A</v>
      </c>
    </row>
  </sheetData>
  <mergeCells count="6">
    <mergeCell ref="J19:K19"/>
    <mergeCell ref="A16:E17"/>
    <mergeCell ref="J5:K6"/>
    <mergeCell ref="J13:K17"/>
    <mergeCell ref="J2:K2"/>
    <mergeCell ref="J3:K3"/>
  </mergeCells>
  <pageMargins left="0.7" right="0.7" top="0.75" bottom="0.75" header="0.3" footer="0.3"/>
  <headerFooter>
    <oddFooter>&amp;C_x000D_&amp;1#&amp;"Calibri"&amp;6&amp;K626469 General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B12F-DE42-41F0-80C4-14155D9D9AA0}">
  <dimension ref="A1:X44"/>
  <sheetViews>
    <sheetView showGridLines="0" zoomScale="67" workbookViewId="0">
      <selection activeCell="M24" sqref="M24"/>
    </sheetView>
  </sheetViews>
  <sheetFormatPr defaultRowHeight="14.5" x14ac:dyDescent="0.35"/>
  <cols>
    <col min="1" max="1" width="19.26953125" customWidth="1"/>
    <col min="2" max="2" width="12" customWidth="1"/>
    <col min="3" max="3" width="20.08984375" bestFit="1" customWidth="1"/>
    <col min="4" max="4" width="15.6328125" bestFit="1" customWidth="1"/>
    <col min="5" max="5" width="16.81640625" bestFit="1" customWidth="1"/>
    <col min="6" max="6" width="21.1796875" bestFit="1" customWidth="1"/>
    <col min="7" max="7" width="11.81640625" bestFit="1" customWidth="1"/>
    <col min="9" max="9" width="2.08984375" customWidth="1"/>
    <col min="10" max="10" width="12.26953125" bestFit="1" customWidth="1"/>
    <col min="11" max="11" width="60.6328125" customWidth="1"/>
    <col min="12" max="12" width="13.08984375" bestFit="1" customWidth="1"/>
    <col min="13" max="13" width="12.453125" bestFit="1" customWidth="1"/>
    <col min="14" max="14" width="13.08984375" bestFit="1" customWidth="1"/>
  </cols>
  <sheetData>
    <row r="1" spans="1:24" ht="15" thickBot="1" x14ac:dyDescent="0.4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19</v>
      </c>
    </row>
    <row r="2" spans="1:24" ht="15" thickBot="1" x14ac:dyDescent="0.4">
      <c r="A2" s="57">
        <v>2014</v>
      </c>
      <c r="B2" s="68">
        <v>1636.3409999999999</v>
      </c>
      <c r="C2" s="68">
        <v>2026566</v>
      </c>
      <c r="D2" s="68">
        <v>10.7</v>
      </c>
      <c r="E2" s="68">
        <v>9.31</v>
      </c>
      <c r="F2" s="68">
        <v>64619500</v>
      </c>
      <c r="G2" s="69">
        <f t="shared" ref="G2:G11" si="0">F2*$T$16+E2*$U$16+D2*$V$16+C2*$W$16+$X$16</f>
        <v>1631.1028683019831</v>
      </c>
    </row>
    <row r="3" spans="1:24" ht="15" thickBot="1" x14ac:dyDescent="0.4">
      <c r="A3" s="47">
        <v>2015</v>
      </c>
      <c r="B3" s="65">
        <v>1652.623</v>
      </c>
      <c r="C3" s="65">
        <v>2071561</v>
      </c>
      <c r="D3" s="65">
        <v>14.2</v>
      </c>
      <c r="E3" s="65">
        <v>9.33</v>
      </c>
      <c r="F3" s="65">
        <v>65088100</v>
      </c>
      <c r="G3" s="70">
        <f t="shared" si="0"/>
        <v>1642.877794925138</v>
      </c>
      <c r="J3" s="95" t="s">
        <v>6</v>
      </c>
      <c r="K3" s="96"/>
    </row>
    <row r="4" spans="1:24" ht="15" thickBot="1" x14ac:dyDescent="0.4">
      <c r="A4" s="47">
        <v>2016</v>
      </c>
      <c r="B4" s="65">
        <v>1651.46</v>
      </c>
      <c r="C4" s="65">
        <v>2111357</v>
      </c>
      <c r="D4" s="65">
        <v>14.5</v>
      </c>
      <c r="E4" s="65">
        <v>9.35</v>
      </c>
      <c r="F4" s="65">
        <v>65607100</v>
      </c>
      <c r="G4" s="70">
        <f t="shared" si="0"/>
        <v>1655.2479219972811</v>
      </c>
      <c r="J4" s="97" t="s">
        <v>7</v>
      </c>
      <c r="K4" s="98"/>
    </row>
    <row r="5" spans="1:24" ht="15" thickBot="1" x14ac:dyDescent="0.4">
      <c r="A5" s="47">
        <v>2017</v>
      </c>
      <c r="B5" s="65">
        <v>1645.6450000000002</v>
      </c>
      <c r="C5" s="65">
        <v>2167415</v>
      </c>
      <c r="D5" s="65">
        <v>20.3</v>
      </c>
      <c r="E5" s="65">
        <v>9.3699999999999992</v>
      </c>
      <c r="F5" s="65">
        <v>65966000</v>
      </c>
      <c r="G5" s="70">
        <f t="shared" si="0"/>
        <v>1692.424452248677</v>
      </c>
    </row>
    <row r="6" spans="1:24" x14ac:dyDescent="0.35">
      <c r="A6" s="47">
        <v>2018</v>
      </c>
      <c r="B6" s="65">
        <v>1651.46</v>
      </c>
      <c r="C6" s="65">
        <v>2197841</v>
      </c>
      <c r="D6" s="65">
        <v>27.6</v>
      </c>
      <c r="E6" s="65">
        <v>9.3800000000000008</v>
      </c>
      <c r="F6" s="65">
        <v>66288900</v>
      </c>
      <c r="G6" s="70">
        <f t="shared" si="0"/>
        <v>1651.343299128639</v>
      </c>
      <c r="J6" s="81" t="s">
        <v>8</v>
      </c>
      <c r="K6" s="83"/>
    </row>
    <row r="7" spans="1:24" ht="15" thickBot="1" x14ac:dyDescent="0.4">
      <c r="A7" s="47">
        <v>2019</v>
      </c>
      <c r="B7" s="65">
        <v>1651.46</v>
      </c>
      <c r="C7" s="65">
        <v>2233921</v>
      </c>
      <c r="D7" s="65">
        <v>31.5</v>
      </c>
      <c r="E7" s="65">
        <v>9.39</v>
      </c>
      <c r="F7" s="65">
        <v>66630700</v>
      </c>
      <c r="G7" s="70">
        <f t="shared" si="0"/>
        <v>1630.5531922479349</v>
      </c>
      <c r="J7" s="84"/>
      <c r="K7" s="86"/>
    </row>
    <row r="8" spans="1:24" ht="15" thickBot="1" x14ac:dyDescent="0.4">
      <c r="A8" s="47">
        <v>2020</v>
      </c>
      <c r="B8" s="65">
        <v>1418.8600000000001</v>
      </c>
      <c r="C8" s="65">
        <v>2002489</v>
      </c>
      <c r="D8" s="65">
        <v>37.5</v>
      </c>
      <c r="E8" s="65">
        <v>9.41</v>
      </c>
      <c r="F8" s="65">
        <v>66744100</v>
      </c>
      <c r="G8" s="70">
        <f t="shared" si="0"/>
        <v>1450.8132767576462</v>
      </c>
      <c r="J8" s="21" t="s">
        <v>9</v>
      </c>
      <c r="K8" s="22" t="s">
        <v>1</v>
      </c>
    </row>
    <row r="9" spans="1:24" x14ac:dyDescent="0.35">
      <c r="A9" s="47">
        <v>2021</v>
      </c>
      <c r="B9" s="65">
        <v>1686.3500000000001</v>
      </c>
      <c r="C9" s="65">
        <v>2176203</v>
      </c>
      <c r="D9" s="65">
        <v>33.700000000000003</v>
      </c>
      <c r="E9" s="65">
        <v>9.41</v>
      </c>
      <c r="F9" s="65">
        <v>66983500</v>
      </c>
      <c r="G9" s="70">
        <f t="shared" si="0"/>
        <v>1579.9123855830403</v>
      </c>
      <c r="J9" s="23" t="s">
        <v>2</v>
      </c>
      <c r="K9" s="24">
        <v>1763</v>
      </c>
    </row>
    <row r="10" spans="1:24" x14ac:dyDescent="0.35">
      <c r="A10" s="47">
        <v>2022</v>
      </c>
      <c r="B10" s="65">
        <v>1463.0540000000001</v>
      </c>
      <c r="C10" s="65">
        <v>2270764</v>
      </c>
      <c r="D10" s="65">
        <v>37.5</v>
      </c>
      <c r="E10" s="65">
        <v>9.42</v>
      </c>
      <c r="F10" s="65">
        <v>67602800</v>
      </c>
      <c r="G10" s="70">
        <f t="shared" si="0"/>
        <v>1545.5629523376192</v>
      </c>
      <c r="J10" s="5" t="s">
        <v>3</v>
      </c>
      <c r="K10" s="3">
        <v>1450</v>
      </c>
    </row>
    <row r="11" spans="1:24" x14ac:dyDescent="0.35">
      <c r="A11" s="47">
        <v>2023</v>
      </c>
      <c r="B11" s="65">
        <v>1453.75</v>
      </c>
      <c r="C11" s="65">
        <v>2273126</v>
      </c>
      <c r="D11" s="65">
        <v>37.799999999999997</v>
      </c>
      <c r="E11" s="65">
        <v>9.43</v>
      </c>
      <c r="F11" s="65">
        <v>68265200</v>
      </c>
      <c r="G11" s="70">
        <f t="shared" si="0"/>
        <v>1431.1648564719362</v>
      </c>
      <c r="J11" s="5" t="s">
        <v>10</v>
      </c>
      <c r="K11" s="3">
        <v>1630</v>
      </c>
    </row>
    <row r="12" spans="1:24" ht="15" thickBot="1" x14ac:dyDescent="0.4">
      <c r="A12" s="71">
        <v>2029</v>
      </c>
      <c r="B12" s="79">
        <v>1753.75</v>
      </c>
      <c r="C12" s="73">
        <v>2355626.4947155444</v>
      </c>
      <c r="D12" s="74">
        <v>58.293473328829876</v>
      </c>
      <c r="E12" s="75">
        <v>9.4938734134918512</v>
      </c>
      <c r="F12" s="73">
        <v>72193729.930591002</v>
      </c>
      <c r="G12" s="70"/>
      <c r="J12" s="25" t="s">
        <v>5</v>
      </c>
      <c r="K12" s="20">
        <v>1890</v>
      </c>
    </row>
    <row r="13" spans="1:24" ht="15" thickBot="1" x14ac:dyDescent="0.4">
      <c r="A13" s="72">
        <v>2050</v>
      </c>
      <c r="B13" s="80">
        <v>1578.53</v>
      </c>
      <c r="C13" s="76">
        <v>2806178.9251239477</v>
      </c>
      <c r="D13" s="78">
        <v>120.11173101122236</v>
      </c>
      <c r="E13" s="77">
        <v>9.7072517263691136</v>
      </c>
      <c r="F13" s="76">
        <v>85847485.527802348</v>
      </c>
      <c r="G13" s="70"/>
    </row>
    <row r="14" spans="1:24" x14ac:dyDescent="0.35">
      <c r="A14" s="2"/>
      <c r="B14" s="1"/>
      <c r="C14" s="1"/>
      <c r="D14" s="1"/>
      <c r="E14" s="1"/>
      <c r="F14" s="3"/>
      <c r="G14" s="3"/>
      <c r="J14" s="89" t="s">
        <v>11</v>
      </c>
      <c r="K14" s="90"/>
      <c r="T14" s="81" t="s">
        <v>15</v>
      </c>
      <c r="U14" s="82"/>
      <c r="V14" s="82"/>
      <c r="W14" s="82"/>
      <c r="X14" s="83"/>
    </row>
    <row r="15" spans="1:24" ht="15" thickBot="1" x14ac:dyDescent="0.4">
      <c r="A15" s="2"/>
      <c r="B15" s="1"/>
      <c r="C15" s="1"/>
      <c r="D15" s="1"/>
      <c r="E15" s="1"/>
      <c r="F15" s="3"/>
      <c r="G15" s="3"/>
      <c r="J15" s="91"/>
      <c r="K15" s="92"/>
      <c r="T15" s="84"/>
      <c r="U15" s="85"/>
      <c r="V15" s="85"/>
      <c r="W15" s="85"/>
      <c r="X15" s="86"/>
    </row>
    <row r="16" spans="1:24" ht="15" thickBot="1" x14ac:dyDescent="0.4">
      <c r="A16" s="2"/>
      <c r="B16" s="1"/>
      <c r="C16" s="1"/>
      <c r="D16" s="1"/>
      <c r="E16" s="1"/>
      <c r="F16" s="3"/>
      <c r="G16" s="3"/>
      <c r="J16" s="91"/>
      <c r="K16" s="92"/>
      <c r="T16" s="23" cm="1">
        <f t="array" ref="T16:X20">LINEST(B2:B11,C2:F11,TRUE,TRUE)</f>
        <v>-2.5499528927538104E-4</v>
      </c>
      <c r="U16" s="23">
        <v>5395.6357613243617</v>
      </c>
      <c r="V16" s="23">
        <v>-5.7752826712324206</v>
      </c>
      <c r="W16" s="23">
        <v>9.682518791072507E-4</v>
      </c>
      <c r="X16" s="24">
        <v>-34025.02878735002</v>
      </c>
    </row>
    <row r="17" spans="1:24" ht="15" thickBot="1" x14ac:dyDescent="0.4">
      <c r="A17" s="44" t="s">
        <v>0</v>
      </c>
      <c r="B17" s="45" t="s">
        <v>1</v>
      </c>
      <c r="C17" s="45" t="s">
        <v>2</v>
      </c>
      <c r="D17" s="45" t="s">
        <v>3</v>
      </c>
      <c r="E17" s="45" t="s">
        <v>4</v>
      </c>
      <c r="F17" s="46" t="s">
        <v>5</v>
      </c>
      <c r="G17" s="22"/>
      <c r="J17" s="91"/>
      <c r="K17" s="92"/>
      <c r="T17" s="5">
        <v>1.1187529789776626E-4</v>
      </c>
      <c r="U17" s="5">
        <v>3908.4033700342584</v>
      </c>
      <c r="V17" s="5">
        <v>9.4688425560905696</v>
      </c>
      <c r="W17" s="5">
        <v>3.9327358862132223E-4</v>
      </c>
      <c r="X17" s="3">
        <v>31600.494799794444</v>
      </c>
    </row>
    <row r="18" spans="1:24" ht="15" thickBot="1" x14ac:dyDescent="0.4">
      <c r="A18" s="47">
        <v>2024</v>
      </c>
      <c r="B18" s="43">
        <v>1798.26</v>
      </c>
      <c r="C18" s="43">
        <f>_xlfn.FORECAST.ETS(A18,C2:C11,A2:A11)</f>
        <v>2259026.8294899813</v>
      </c>
      <c r="D18" s="43">
        <f>_xlfn.FORECAST.ETS(A18,D2:D11,A2:A11)</f>
        <v>44.593108111476404</v>
      </c>
      <c r="E18" s="43">
        <f>_xlfn.FORECAST.ETS(A18,E2:E11,A2:A11)</f>
        <v>9.4433134060112973</v>
      </c>
      <c r="F18" s="66">
        <f>_xlfn.FORECAST.ETS(A18,F2:F11,A2:A11,)</f>
        <v>68919816.388827458</v>
      </c>
      <c r="J18" s="93"/>
      <c r="K18" s="94"/>
      <c r="T18" s="5">
        <v>0.76071364205734449</v>
      </c>
      <c r="U18" s="5">
        <v>66.977569921900127</v>
      </c>
      <c r="V18" s="5" t="e">
        <v>#N/A</v>
      </c>
      <c r="W18" s="5" t="e">
        <v>#N/A</v>
      </c>
      <c r="X18" s="3" t="e">
        <v>#N/A</v>
      </c>
    </row>
    <row r="19" spans="1:24" ht="15" thickBot="1" x14ac:dyDescent="0.4">
      <c r="A19" s="47">
        <v>2025</v>
      </c>
      <c r="B19" s="43">
        <v>1789.27</v>
      </c>
      <c r="C19" s="43">
        <f t="shared" ref="C19:C27" si="1">_xlfn.FORECAST.ETS(A19,C3:C18,A3:A18)</f>
        <v>2257413.6712450972</v>
      </c>
      <c r="D19" s="43">
        <f t="shared" ref="D19:D27" si="2">_xlfn.FORECAST.ETS(A19,D3:D18,A3:A18)</f>
        <v>47.407475789337404</v>
      </c>
      <c r="E19" s="43">
        <f t="shared" ref="E19:E27" si="3">_xlfn.FORECAST.ETS(A19,E3:E18,A3:A18)</f>
        <v>9.4549434653306736</v>
      </c>
      <c r="F19" s="66">
        <f t="shared" ref="F19:F27" si="4">_xlfn.FORECAST.ETS(A19,F3:F18,A3:A18,)</f>
        <v>69574599.097163051</v>
      </c>
      <c r="T19" s="5">
        <v>3.9738665452861306</v>
      </c>
      <c r="U19" s="5">
        <v>5</v>
      </c>
      <c r="V19" s="5" t="e">
        <v>#N/A</v>
      </c>
      <c r="W19" s="5" t="e">
        <v>#N/A</v>
      </c>
      <c r="X19" s="3" t="e">
        <v>#N/A</v>
      </c>
    </row>
    <row r="20" spans="1:24" ht="15" thickBot="1" x14ac:dyDescent="0.4">
      <c r="A20" s="47">
        <v>2026</v>
      </c>
      <c r="B20" s="43">
        <v>1780.33</v>
      </c>
      <c r="C20" s="43">
        <f t="shared" si="1"/>
        <v>2270828.7188366372</v>
      </c>
      <c r="D20" s="43">
        <f t="shared" si="2"/>
        <v>50.64081391763456</v>
      </c>
      <c r="E20" s="43">
        <f t="shared" si="3"/>
        <v>9.4652494294224052</v>
      </c>
      <c r="F20" s="66">
        <f t="shared" si="4"/>
        <v>70229381.805486262</v>
      </c>
      <c r="J20" s="87" t="s">
        <v>12</v>
      </c>
      <c r="K20" s="88"/>
      <c r="T20" s="25">
        <v>71306.979786884869</v>
      </c>
      <c r="U20" s="25">
        <v>22429.974363215108</v>
      </c>
      <c r="V20" s="25" t="e">
        <v>#N/A</v>
      </c>
      <c r="W20" s="25" t="e">
        <v>#N/A</v>
      </c>
      <c r="X20" s="20" t="e">
        <v>#N/A</v>
      </c>
    </row>
    <row r="21" spans="1:24" x14ac:dyDescent="0.35">
      <c r="A21" s="47">
        <v>2027</v>
      </c>
      <c r="B21" s="43">
        <v>1771.42</v>
      </c>
      <c r="C21" s="43">
        <f t="shared" si="1"/>
        <v>2310058.8761302433</v>
      </c>
      <c r="D21" s="43">
        <f t="shared" si="2"/>
        <v>53.44671206502278</v>
      </c>
      <c r="E21" s="43">
        <f t="shared" si="3"/>
        <v>9.474182104262729</v>
      </c>
      <c r="F21" s="66">
        <f t="shared" si="4"/>
        <v>70884164.513825551</v>
      </c>
    </row>
    <row r="22" spans="1:24" x14ac:dyDescent="0.35">
      <c r="A22" s="47">
        <v>2028</v>
      </c>
      <c r="B22" s="43">
        <v>1762.57</v>
      </c>
      <c r="C22" s="43">
        <f t="shared" si="1"/>
        <v>2330021.0705634141</v>
      </c>
      <c r="D22" s="43">
        <f t="shared" si="2"/>
        <v>54.842877503133458</v>
      </c>
      <c r="E22" s="43">
        <f t="shared" si="3"/>
        <v>9.4836636099044416</v>
      </c>
      <c r="F22" s="66">
        <f t="shared" si="4"/>
        <v>71538947.222192392</v>
      </c>
    </row>
    <row r="23" spans="1:24" x14ac:dyDescent="0.35">
      <c r="A23" s="47">
        <v>2029</v>
      </c>
      <c r="B23" s="43">
        <v>1753.75</v>
      </c>
      <c r="C23" s="43">
        <f t="shared" si="1"/>
        <v>2355626.4947155444</v>
      </c>
      <c r="D23" s="43">
        <f t="shared" si="2"/>
        <v>58.293473328829876</v>
      </c>
      <c r="E23" s="43">
        <f t="shared" si="3"/>
        <v>9.4938734134918512</v>
      </c>
      <c r="F23" s="66">
        <f t="shared" si="4"/>
        <v>72193729.930591002</v>
      </c>
    </row>
    <row r="24" spans="1:24" x14ac:dyDescent="0.35">
      <c r="A24" s="47">
        <v>2030</v>
      </c>
      <c r="B24" s="43">
        <v>1744.99</v>
      </c>
      <c r="C24" s="43">
        <f t="shared" si="1"/>
        <v>2385783.4037701851</v>
      </c>
      <c r="D24" s="43">
        <f t="shared" si="2"/>
        <v>60.961812117745659</v>
      </c>
      <c r="E24" s="43">
        <f t="shared" si="3"/>
        <v>9.5039097715312071</v>
      </c>
      <c r="F24" s="66">
        <f t="shared" si="4"/>
        <v>72820293.806504458</v>
      </c>
    </row>
    <row r="25" spans="1:24" x14ac:dyDescent="0.35">
      <c r="A25" s="47">
        <v>2031</v>
      </c>
      <c r="B25" s="43">
        <v>1736.26</v>
      </c>
      <c r="C25" s="43">
        <f t="shared" si="1"/>
        <v>2402284.471884415</v>
      </c>
      <c r="D25" s="43">
        <f t="shared" si="2"/>
        <v>64.392948225053516</v>
      </c>
      <c r="E25" s="43">
        <f t="shared" si="3"/>
        <v>9.5144664808540238</v>
      </c>
      <c r="F25" s="66">
        <f t="shared" si="4"/>
        <v>73483656.603638738</v>
      </c>
    </row>
    <row r="26" spans="1:24" x14ac:dyDescent="0.35">
      <c r="A26" s="47">
        <v>2032</v>
      </c>
      <c r="B26" s="43">
        <v>1727.58</v>
      </c>
      <c r="C26" s="43">
        <f t="shared" si="1"/>
        <v>2418722.8764585201</v>
      </c>
      <c r="D26" s="43">
        <f t="shared" si="2"/>
        <v>67.662358797800522</v>
      </c>
      <c r="E26" s="43">
        <f t="shared" si="3"/>
        <v>9.5248521683708454</v>
      </c>
      <c r="F26" s="66">
        <f t="shared" si="4"/>
        <v>74135572.899172395</v>
      </c>
    </row>
    <row r="27" spans="1:24" x14ac:dyDescent="0.35">
      <c r="A27" s="47">
        <v>2033</v>
      </c>
      <c r="B27" s="43">
        <v>1718.94</v>
      </c>
      <c r="C27" s="43">
        <f t="shared" si="1"/>
        <v>2437400.9857853861</v>
      </c>
      <c r="D27" s="43">
        <f t="shared" si="2"/>
        <v>70.664749288240927</v>
      </c>
      <c r="E27" s="43">
        <f t="shared" si="3"/>
        <v>9.535197319853653</v>
      </c>
      <c r="F27" s="66">
        <f t="shared" si="4"/>
        <v>74788638.436272442</v>
      </c>
    </row>
    <row r="28" spans="1:24" x14ac:dyDescent="0.35">
      <c r="A28" s="47">
        <v>2034</v>
      </c>
      <c r="B28" s="43">
        <v>1710.35</v>
      </c>
      <c r="C28" s="43">
        <f t="shared" ref="C28:C44" si="5">_xlfn.FORECAST.ETS(A28,C18:C27,A18:A27)</f>
        <v>2459867.6684834952</v>
      </c>
      <c r="D28" s="43">
        <f t="shared" ref="D28:D44" si="6">_xlfn.FORECAST.ETS(A28,D18:D27,A18:A27)</f>
        <v>73.138438349890535</v>
      </c>
      <c r="E28" s="43">
        <f t="shared" ref="E28:E44" si="7">_xlfn.FORECAST.ETS(A28,E18:E27,A18:A27)</f>
        <v>9.5452392547603093</v>
      </c>
      <c r="F28" s="66">
        <f t="shared" ref="F28:F44" si="8">_xlfn.FORECAST.ETS(A28,F18:F27,A18:A27,)</f>
        <v>75438930.60088104</v>
      </c>
    </row>
    <row r="29" spans="1:24" x14ac:dyDescent="0.35">
      <c r="A29" s="47">
        <v>2035</v>
      </c>
      <c r="B29" s="43">
        <v>1701.79</v>
      </c>
      <c r="C29" s="43">
        <f t="shared" si="5"/>
        <v>2486579.1733887456</v>
      </c>
      <c r="D29" s="43">
        <f t="shared" si="6"/>
        <v>76.129063726351362</v>
      </c>
      <c r="E29" s="43">
        <f t="shared" si="7"/>
        <v>9.5552854815223824</v>
      </c>
      <c r="F29" s="66">
        <f t="shared" si="8"/>
        <v>76088034.404763713</v>
      </c>
    </row>
    <row r="30" spans="1:24" x14ac:dyDescent="0.35">
      <c r="A30" s="47">
        <v>2036</v>
      </c>
      <c r="B30" s="43">
        <v>1693.29</v>
      </c>
      <c r="C30" s="43">
        <f t="shared" si="5"/>
        <v>2508815.4746794002</v>
      </c>
      <c r="D30" s="43">
        <f t="shared" si="6"/>
        <v>79.023559756129089</v>
      </c>
      <c r="E30" s="43">
        <f t="shared" si="7"/>
        <v>9.5653733349105519</v>
      </c>
      <c r="F30" s="66">
        <f t="shared" si="8"/>
        <v>76737458.130913645</v>
      </c>
    </row>
    <row r="31" spans="1:24" x14ac:dyDescent="0.35">
      <c r="A31" s="47">
        <v>2037</v>
      </c>
      <c r="B31" s="43">
        <v>1684.82</v>
      </c>
      <c r="C31" s="43">
        <f t="shared" si="5"/>
        <v>2528142.3636535564</v>
      </c>
      <c r="D31" s="43">
        <f t="shared" si="6"/>
        <v>81.982468331728541</v>
      </c>
      <c r="E31" s="43">
        <f t="shared" si="7"/>
        <v>9.5755865265535594</v>
      </c>
      <c r="F31" s="66">
        <f t="shared" si="8"/>
        <v>77387588.561584815</v>
      </c>
    </row>
    <row r="32" spans="1:24" x14ac:dyDescent="0.35">
      <c r="A32" s="47">
        <v>2038</v>
      </c>
      <c r="B32" s="43">
        <v>1676.4</v>
      </c>
      <c r="C32" s="43">
        <f t="shared" si="5"/>
        <v>2549875.2965458962</v>
      </c>
      <c r="D32" s="43">
        <f t="shared" si="6"/>
        <v>84.997303858976906</v>
      </c>
      <c r="E32" s="43">
        <f t="shared" si="7"/>
        <v>9.5858156410805879</v>
      </c>
      <c r="F32" s="66">
        <f t="shared" si="8"/>
        <v>78038999.510746077</v>
      </c>
    </row>
    <row r="33" spans="1:10" x14ac:dyDescent="0.35">
      <c r="A33" s="47">
        <v>2039</v>
      </c>
      <c r="B33" s="43">
        <v>1668.01</v>
      </c>
      <c r="C33" s="43">
        <f>_xlfn.FORECAST.ETS(A33,C23:C32,A23:A32)</f>
        <v>2569438.0091696549</v>
      </c>
      <c r="D33" s="43">
        <f t="shared" si="6"/>
        <v>87.971143474341346</v>
      </c>
      <c r="E33" s="43">
        <f t="shared" si="7"/>
        <v>9.5960268538401632</v>
      </c>
      <c r="F33" s="66">
        <f t="shared" si="8"/>
        <v>78689544.032428682</v>
      </c>
    </row>
    <row r="34" spans="1:10" x14ac:dyDescent="0.35">
      <c r="A34" s="47">
        <v>2040</v>
      </c>
      <c r="B34" s="43">
        <v>1659.67</v>
      </c>
      <c r="C34" s="43">
        <f t="shared" si="5"/>
        <v>2590265.5053677312</v>
      </c>
      <c r="D34" s="43">
        <f t="shared" si="6"/>
        <v>90.920209315663158</v>
      </c>
      <c r="E34" s="43">
        <f t="shared" si="7"/>
        <v>9.6062354397504723</v>
      </c>
      <c r="F34" s="66">
        <f t="shared" si="8"/>
        <v>79340941.193843588</v>
      </c>
    </row>
    <row r="35" spans="1:10" x14ac:dyDescent="0.35">
      <c r="A35" s="47">
        <v>2041</v>
      </c>
      <c r="B35" s="43">
        <v>1651.37</v>
      </c>
      <c r="C35" s="43">
        <f t="shared" si="5"/>
        <v>2611770.6479255776</v>
      </c>
      <c r="D35" s="43">
        <f t="shared" si="6"/>
        <v>93.760624880385848</v>
      </c>
      <c r="E35" s="43">
        <f t="shared" si="7"/>
        <v>9.6164034874381432</v>
      </c>
      <c r="F35" s="66">
        <f t="shared" si="8"/>
        <v>79991617.959455326</v>
      </c>
      <c r="J35">
        <f>T18/AVERAGE(B2:B11)</f>
        <v>4.7810539791699139E-4</v>
      </c>
    </row>
    <row r="36" spans="1:10" x14ac:dyDescent="0.35">
      <c r="A36" s="47">
        <v>2042</v>
      </c>
      <c r="B36" s="43">
        <v>1643.12</v>
      </c>
      <c r="C36" s="43">
        <f t="shared" si="5"/>
        <v>2634767.6139394371</v>
      </c>
      <c r="D36" s="43">
        <f t="shared" si="6"/>
        <v>96.685999734260307</v>
      </c>
      <c r="E36" s="43">
        <f t="shared" si="7"/>
        <v>9.6264877371717663</v>
      </c>
      <c r="F36" s="66">
        <f t="shared" si="8"/>
        <v>80642053.778735131</v>
      </c>
    </row>
    <row r="37" spans="1:10" x14ac:dyDescent="0.35">
      <c r="A37" s="47">
        <v>2043</v>
      </c>
      <c r="B37" s="43">
        <v>1634.9</v>
      </c>
      <c r="C37" s="43">
        <f t="shared" si="5"/>
        <v>2656217.4951435761</v>
      </c>
      <c r="D37" s="43">
        <f t="shared" si="6"/>
        <v>99.609641438106422</v>
      </c>
      <c r="E37" s="43">
        <f t="shared" si="7"/>
        <v>9.6365809697177536</v>
      </c>
      <c r="F37" s="66">
        <f t="shared" si="8"/>
        <v>81292518.415733859</v>
      </c>
    </row>
    <row r="38" spans="1:10" x14ac:dyDescent="0.35">
      <c r="A38" s="47">
        <v>2044</v>
      </c>
      <c r="B38" s="43">
        <v>1626.73</v>
      </c>
      <c r="C38" s="43">
        <f t="shared" si="5"/>
        <v>2677562.1892195609</v>
      </c>
      <c r="D38" s="43">
        <f t="shared" si="6"/>
        <v>102.55495248256432</v>
      </c>
      <c r="E38" s="43">
        <f t="shared" si="7"/>
        <v>9.6466740262501123</v>
      </c>
      <c r="F38" s="66">
        <f t="shared" si="8"/>
        <v>81943036.154898643</v>
      </c>
    </row>
    <row r="39" spans="1:10" x14ac:dyDescent="0.35">
      <c r="A39" s="47">
        <v>2045</v>
      </c>
      <c r="B39" s="43">
        <v>1618.59</v>
      </c>
      <c r="C39" s="43">
        <f t="shared" si="5"/>
        <v>2698692.2417721618</v>
      </c>
      <c r="D39" s="43">
        <f t="shared" si="6"/>
        <v>105.49184753761273</v>
      </c>
      <c r="E39" s="43">
        <f t="shared" si="7"/>
        <v>9.6567679973200065</v>
      </c>
      <c r="F39" s="66">
        <f t="shared" si="8"/>
        <v>82593732.223824337</v>
      </c>
    </row>
    <row r="40" spans="1:10" x14ac:dyDescent="0.35">
      <c r="A40" s="47">
        <v>2046</v>
      </c>
      <c r="B40" s="43">
        <v>1610.5</v>
      </c>
      <c r="C40" s="43">
        <f t="shared" si="5"/>
        <v>2719936.4905246641</v>
      </c>
      <c r="D40" s="43">
        <f t="shared" si="6"/>
        <v>108.42659003949022</v>
      </c>
      <c r="E40" s="43">
        <f t="shared" si="7"/>
        <v>9.6668618741925432</v>
      </c>
      <c r="F40" s="66">
        <f t="shared" si="8"/>
        <v>83244755.737608939</v>
      </c>
    </row>
    <row r="41" spans="1:10" x14ac:dyDescent="0.35">
      <c r="A41" s="47">
        <v>2047</v>
      </c>
      <c r="B41" s="43">
        <v>1602.45</v>
      </c>
      <c r="C41" s="43">
        <f t="shared" si="5"/>
        <v>2741342.787146952</v>
      </c>
      <c r="D41" s="43">
        <f t="shared" si="6"/>
        <v>111.35559882653331</v>
      </c>
      <c r="E41" s="43">
        <f t="shared" si="7"/>
        <v>9.6769557528941466</v>
      </c>
      <c r="F41" s="66">
        <f t="shared" si="8"/>
        <v>83895456.374800712</v>
      </c>
    </row>
    <row r="42" spans="1:10" x14ac:dyDescent="0.35">
      <c r="A42" s="47">
        <v>2048</v>
      </c>
      <c r="B42" s="43">
        <v>1594.44</v>
      </c>
      <c r="C42" s="43">
        <f t="shared" si="5"/>
        <v>2762786.9889433351</v>
      </c>
      <c r="D42" s="43">
        <f t="shared" si="6"/>
        <v>114.25936373107766</v>
      </c>
      <c r="E42" s="43">
        <f t="shared" si="7"/>
        <v>9.6870496315957357</v>
      </c>
      <c r="F42" s="66">
        <f t="shared" si="8"/>
        <v>84546138.398099497</v>
      </c>
    </row>
    <row r="43" spans="1:10" x14ac:dyDescent="0.35">
      <c r="A43" s="47">
        <v>2049</v>
      </c>
      <c r="B43" s="43">
        <v>1586.46</v>
      </c>
      <c r="C43" s="43">
        <f t="shared" si="5"/>
        <v>2784686.7164923865</v>
      </c>
      <c r="D43" s="43">
        <f t="shared" si="6"/>
        <v>117.18683177479741</v>
      </c>
      <c r="E43" s="43">
        <f t="shared" si="7"/>
        <v>9.6971561128181634</v>
      </c>
      <c r="F43" s="66">
        <f t="shared" si="8"/>
        <v>85196818.208233118</v>
      </c>
    </row>
    <row r="44" spans="1:10" ht="15" thickBot="1" x14ac:dyDescent="0.4">
      <c r="A44" s="48">
        <v>2050</v>
      </c>
      <c r="B44" s="49">
        <v>1578.53</v>
      </c>
      <c r="C44" s="49">
        <f t="shared" si="5"/>
        <v>2806178.9251239477</v>
      </c>
      <c r="D44" s="49">
        <f t="shared" si="6"/>
        <v>120.11173101122236</v>
      </c>
      <c r="E44" s="49">
        <f t="shared" si="7"/>
        <v>9.7072517263691136</v>
      </c>
      <c r="F44" s="67">
        <f t="shared" si="8"/>
        <v>85847485.527802348</v>
      </c>
    </row>
  </sheetData>
  <mergeCells count="6">
    <mergeCell ref="J20:K20"/>
    <mergeCell ref="T14:X15"/>
    <mergeCell ref="J3:K3"/>
    <mergeCell ref="J4:K4"/>
    <mergeCell ref="J6:K7"/>
    <mergeCell ref="J14:K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0C5B-1496-498B-9DEA-B145DE8EB302}">
  <dimension ref="A1:O55"/>
  <sheetViews>
    <sheetView showGridLines="0" tabSelected="1" topLeftCell="F1" zoomScale="69" workbookViewId="0">
      <selection activeCell="M22" sqref="M22"/>
    </sheetView>
  </sheetViews>
  <sheetFormatPr defaultRowHeight="14.5" x14ac:dyDescent="0.35"/>
  <cols>
    <col min="1" max="1" width="22.54296875" customWidth="1"/>
    <col min="2" max="2" width="27.81640625" customWidth="1"/>
    <col min="3" max="3" width="19.6328125" customWidth="1"/>
    <col min="4" max="4" width="23.26953125" customWidth="1"/>
    <col min="5" max="5" width="19.1796875" customWidth="1"/>
    <col min="6" max="6" width="26.26953125" customWidth="1"/>
    <col min="7" max="7" width="37.36328125" customWidth="1"/>
    <col min="11" max="11" width="13.26953125" bestFit="1" customWidth="1"/>
    <col min="12" max="14" width="12.90625" bestFit="1" customWidth="1"/>
  </cols>
  <sheetData>
    <row r="1" spans="1:15" ht="15" thickBot="1" x14ac:dyDescent="0.4">
      <c r="A1" s="41" t="s">
        <v>0</v>
      </c>
      <c r="B1" s="41" t="s">
        <v>1</v>
      </c>
      <c r="C1" s="41" t="s">
        <v>2</v>
      </c>
      <c r="D1" s="41" t="s">
        <v>4</v>
      </c>
      <c r="E1" s="41" t="s">
        <v>5</v>
      </c>
      <c r="F1" s="41" t="s">
        <v>130</v>
      </c>
      <c r="G1" s="41" t="s">
        <v>19</v>
      </c>
    </row>
    <row r="2" spans="1:15" x14ac:dyDescent="0.35">
      <c r="A2" s="42">
        <v>1970</v>
      </c>
      <c r="B2" s="43">
        <v>2035.2500000000002</v>
      </c>
      <c r="C2" s="43">
        <v>773977</v>
      </c>
      <c r="D2" s="43">
        <v>8.2899999999999991</v>
      </c>
      <c r="E2" s="60">
        <v>55632200</v>
      </c>
      <c r="F2" s="60"/>
      <c r="G2" s="43">
        <f>$K$4*E2+$L$4*D2+$M$4*C2+$N$4</f>
        <v>1857.4157440700128</v>
      </c>
      <c r="K2" s="81" t="s">
        <v>15</v>
      </c>
      <c r="L2" s="82"/>
      <c r="M2" s="82"/>
      <c r="N2" s="82"/>
      <c r="O2" s="83"/>
    </row>
    <row r="3" spans="1:15" ht="15" thickBot="1" x14ac:dyDescent="0.4">
      <c r="A3" s="42">
        <v>1971</v>
      </c>
      <c r="B3" s="43">
        <v>1977.1000000000001</v>
      </c>
      <c r="C3" s="43">
        <v>801969</v>
      </c>
      <c r="D3" s="43">
        <v>8.3000000000000007</v>
      </c>
      <c r="E3" s="60">
        <v>55928000</v>
      </c>
      <c r="F3" s="60"/>
      <c r="G3" s="43">
        <f t="shared" ref="G3:G55" si="0">$K$4*E3+$L$4*D3+$M$4*C3+$N$4</f>
        <v>1854.6062734671214</v>
      </c>
      <c r="K3" s="84"/>
      <c r="L3" s="85"/>
      <c r="M3" s="85"/>
      <c r="N3" s="85"/>
      <c r="O3" s="86"/>
    </row>
    <row r="4" spans="1:15" x14ac:dyDescent="0.35">
      <c r="A4" s="42">
        <v>1972</v>
      </c>
      <c r="B4" s="43">
        <v>1918.95</v>
      </c>
      <c r="C4" s="43">
        <v>836938</v>
      </c>
      <c r="D4" s="43">
        <v>8.3000000000000007</v>
      </c>
      <c r="E4" s="60">
        <v>56096700</v>
      </c>
      <c r="F4" s="60"/>
      <c r="G4" s="43">
        <f t="shared" si="0"/>
        <v>1867.3425413007835</v>
      </c>
      <c r="K4" s="2" cm="1">
        <f t="array" ref="K4:N8">LINEST(B32:B55,C32:E55,TRUE,TRUE)</f>
        <v>-4.8055534085799539E-5</v>
      </c>
      <c r="L4" s="1">
        <v>-527.92463901582767</v>
      </c>
      <c r="M4" s="1">
        <v>5.9604897005739396E-4</v>
      </c>
      <c r="N4" s="1">
        <v>8446.017891181129</v>
      </c>
      <c r="O4" s="3"/>
    </row>
    <row r="5" spans="1:15" x14ac:dyDescent="0.35">
      <c r="A5" s="42">
        <v>1973</v>
      </c>
      <c r="B5" s="43">
        <v>1884.0600000000002</v>
      </c>
      <c r="C5" s="43">
        <v>891381</v>
      </c>
      <c r="D5" s="43">
        <v>8.3000000000000007</v>
      </c>
      <c r="E5" s="60">
        <v>56222900</v>
      </c>
      <c r="F5" s="60"/>
      <c r="G5" s="43">
        <f t="shared" si="0"/>
        <v>1893.7286269759898</v>
      </c>
      <c r="K5" s="2">
        <v>2.7879510388734899E-5</v>
      </c>
      <c r="L5" s="1">
        <v>859.83853417781336</v>
      </c>
      <c r="M5" s="1">
        <v>1.9290636513488938E-4</v>
      </c>
      <c r="N5" s="1">
        <v>6224.8229407871313</v>
      </c>
      <c r="O5" s="3"/>
    </row>
    <row r="6" spans="1:15" x14ac:dyDescent="0.35">
      <c r="A6" s="42">
        <v>1974</v>
      </c>
      <c r="B6" s="43">
        <v>1837.5400000000002</v>
      </c>
      <c r="C6" s="43">
        <v>869155</v>
      </c>
      <c r="D6" s="43">
        <v>8.3000000000000007</v>
      </c>
      <c r="E6" s="60">
        <v>56235600</v>
      </c>
      <c r="F6" s="60"/>
      <c r="G6" s="43">
        <f t="shared" si="0"/>
        <v>1879.8705372846052</v>
      </c>
      <c r="K6" s="2">
        <v>0.80166884075494849</v>
      </c>
      <c r="L6" s="1">
        <v>51.240819785126355</v>
      </c>
      <c r="M6" s="1" t="e">
        <v>#N/A</v>
      </c>
      <c r="N6" s="1" t="e">
        <v>#N/A</v>
      </c>
      <c r="O6" s="3"/>
    </row>
    <row r="7" spans="1:15" x14ac:dyDescent="0.35">
      <c r="A7" s="42">
        <v>1975</v>
      </c>
      <c r="B7" s="43">
        <v>1744.5000000000002</v>
      </c>
      <c r="C7" s="43">
        <v>856049</v>
      </c>
      <c r="D7" s="43">
        <v>8.31</v>
      </c>
      <c r="E7" s="60">
        <v>56225700</v>
      </c>
      <c r="F7" s="60"/>
      <c r="G7" s="43">
        <f t="shared" si="0"/>
        <v>1867.2552228803233</v>
      </c>
      <c r="K7" s="2">
        <v>26.947147179041512</v>
      </c>
      <c r="L7" s="1">
        <v>20</v>
      </c>
      <c r="M7" s="1" t="e">
        <v>#N/A</v>
      </c>
      <c r="N7" s="1" t="e">
        <v>#N/A</v>
      </c>
      <c r="O7" s="3"/>
    </row>
    <row r="8" spans="1:15" ht="15" thickBot="1" x14ac:dyDescent="0.4">
      <c r="A8" s="42">
        <v>1976</v>
      </c>
      <c r="B8" s="43">
        <v>1721.24</v>
      </c>
      <c r="C8" s="43">
        <v>881878</v>
      </c>
      <c r="D8" s="43">
        <v>8.32</v>
      </c>
      <c r="E8" s="60">
        <v>56216100</v>
      </c>
      <c r="F8" s="60"/>
      <c r="G8" s="43">
        <f t="shared" si="0"/>
        <v>1877.8326584650013</v>
      </c>
      <c r="K8" s="18">
        <v>212259.03606546423</v>
      </c>
      <c r="L8" s="19">
        <v>52512.432245035925</v>
      </c>
      <c r="M8" s="19" t="e">
        <v>#N/A</v>
      </c>
      <c r="N8" s="19" t="e">
        <v>#N/A</v>
      </c>
      <c r="O8" s="20"/>
    </row>
    <row r="9" spans="1:15" x14ac:dyDescent="0.35">
      <c r="A9" s="42">
        <v>1977</v>
      </c>
      <c r="B9" s="43">
        <v>1686.3500000000001</v>
      </c>
      <c r="C9" s="43">
        <v>903587</v>
      </c>
      <c r="D9" s="43">
        <v>8.33</v>
      </c>
      <c r="E9" s="60">
        <v>56189900</v>
      </c>
      <c r="F9" s="60"/>
      <c r="G9" s="43">
        <f t="shared" si="0"/>
        <v>1886.7520941588682</v>
      </c>
    </row>
    <row r="10" spans="1:15" x14ac:dyDescent="0.35">
      <c r="A10" s="42">
        <v>1978</v>
      </c>
      <c r="B10" s="43">
        <v>1663.0900000000001</v>
      </c>
      <c r="C10" s="43">
        <v>941461</v>
      </c>
      <c r="D10" s="43">
        <v>8.34</v>
      </c>
      <c r="E10" s="60">
        <v>56178000</v>
      </c>
      <c r="F10" s="60"/>
      <c r="G10" s="43">
        <f t="shared" si="0"/>
        <v>1904.6194673162836</v>
      </c>
    </row>
    <row r="11" spans="1:15" x14ac:dyDescent="0.35">
      <c r="A11" s="42">
        <v>1979</v>
      </c>
      <c r="B11" s="43">
        <v>1628.2</v>
      </c>
      <c r="C11" s="43">
        <v>976566</v>
      </c>
      <c r="D11" s="43">
        <v>8.35</v>
      </c>
      <c r="E11" s="60">
        <v>56240100</v>
      </c>
      <c r="F11" s="60"/>
      <c r="G11" s="43">
        <f t="shared" si="0"/>
        <v>1917.2802713532628</v>
      </c>
    </row>
    <row r="12" spans="1:15" x14ac:dyDescent="0.35">
      <c r="A12" s="42">
        <v>1980</v>
      </c>
      <c r="B12" s="43">
        <v>1604.94</v>
      </c>
      <c r="C12" s="43">
        <v>956533</v>
      </c>
      <c r="D12" s="43">
        <v>8.36</v>
      </c>
      <c r="E12" s="60">
        <v>56329700</v>
      </c>
      <c r="F12" s="60"/>
      <c r="G12" s="43">
        <f t="shared" si="0"/>
        <v>1895.7546000918564</v>
      </c>
    </row>
    <row r="13" spans="1:15" x14ac:dyDescent="0.35">
      <c r="A13" s="42">
        <v>1981</v>
      </c>
      <c r="B13" s="59">
        <v>1791.0200000000002</v>
      </c>
      <c r="C13" s="59">
        <v>949961</v>
      </c>
      <c r="D13" s="59">
        <v>8.3800000000000008</v>
      </c>
      <c r="E13" s="59">
        <v>56357500</v>
      </c>
      <c r="F13" s="59"/>
      <c r="G13" s="59">
        <f t="shared" si="0"/>
        <v>1879.942929632738</v>
      </c>
    </row>
    <row r="14" spans="1:15" x14ac:dyDescent="0.35">
      <c r="A14" s="42">
        <v>1982</v>
      </c>
      <c r="B14" s="43">
        <v>1744.5000000000002</v>
      </c>
      <c r="C14" s="43">
        <v>968629</v>
      </c>
      <c r="D14" s="43">
        <v>8.4</v>
      </c>
      <c r="E14" s="60">
        <v>56290700</v>
      </c>
      <c r="F14" s="60"/>
      <c r="G14" s="43">
        <f t="shared" si="0"/>
        <v>1883.721588702384</v>
      </c>
    </row>
    <row r="15" spans="1:15" x14ac:dyDescent="0.35">
      <c r="A15" s="42">
        <v>1983</v>
      </c>
      <c r="B15" s="43">
        <v>1686.3500000000001</v>
      </c>
      <c r="C15" s="43">
        <v>1008981</v>
      </c>
      <c r="D15" s="43">
        <v>8.42</v>
      </c>
      <c r="E15" s="60">
        <v>56315700</v>
      </c>
      <c r="F15" s="60"/>
      <c r="G15" s="43">
        <f t="shared" si="0"/>
        <v>1896.0134756096786</v>
      </c>
    </row>
    <row r="16" spans="1:15" x14ac:dyDescent="0.35">
      <c r="A16" s="42">
        <v>1984</v>
      </c>
      <c r="B16" s="43">
        <v>1651.46</v>
      </c>
      <c r="C16" s="43">
        <v>1031385</v>
      </c>
      <c r="D16" s="43">
        <v>8.44</v>
      </c>
      <c r="E16" s="60">
        <v>56409300</v>
      </c>
      <c r="F16" s="60"/>
      <c r="G16" s="43">
        <f t="shared" si="0"/>
        <v>1894.3108659640966</v>
      </c>
    </row>
    <row r="17" spans="1:7" x14ac:dyDescent="0.35">
      <c r="A17" s="42">
        <v>1985</v>
      </c>
      <c r="B17" s="43">
        <v>1616.5700000000002</v>
      </c>
      <c r="C17" s="43">
        <v>1073547</v>
      </c>
      <c r="D17" s="43">
        <v>8.4600000000000009</v>
      </c>
      <c r="E17" s="60">
        <v>56554000</v>
      </c>
      <c r="F17" s="60"/>
      <c r="G17" s="43">
        <f t="shared" si="0"/>
        <v>1901.929354077125</v>
      </c>
    </row>
    <row r="18" spans="1:7" x14ac:dyDescent="0.35">
      <c r="A18" s="42">
        <v>1986</v>
      </c>
      <c r="B18" s="43">
        <v>1581.68</v>
      </c>
      <c r="C18" s="43">
        <v>1106912</v>
      </c>
      <c r="D18" s="43">
        <v>8.49</v>
      </c>
      <c r="E18" s="60">
        <v>56683800</v>
      </c>
      <c r="F18" s="60"/>
      <c r="G18" s="43">
        <f t="shared" si="0"/>
        <v>1899.7411804682779</v>
      </c>
    </row>
    <row r="19" spans="1:7" x14ac:dyDescent="0.35">
      <c r="A19" s="42">
        <v>1987</v>
      </c>
      <c r="B19" s="43">
        <v>1570.0500000000002</v>
      </c>
      <c r="C19" s="43">
        <v>1166905</v>
      </c>
      <c r="D19" s="43">
        <v>8.52</v>
      </c>
      <c r="E19" s="60">
        <v>56804000</v>
      </c>
      <c r="F19" s="60"/>
      <c r="G19" s="43">
        <f t="shared" si="0"/>
        <v>1913.8859319613439</v>
      </c>
    </row>
    <row r="20" spans="1:7" x14ac:dyDescent="0.35">
      <c r="A20" s="42">
        <v>1988</v>
      </c>
      <c r="B20" s="43">
        <v>1535.16</v>
      </c>
      <c r="C20" s="43">
        <v>1229650</v>
      </c>
      <c r="D20" s="43">
        <v>8.57</v>
      </c>
      <c r="E20" s="60">
        <v>56916400</v>
      </c>
      <c r="F20" s="60"/>
      <c r="G20" s="43">
        <f t="shared" si="0"/>
        <v>1919.4873506055592</v>
      </c>
    </row>
    <row r="21" spans="1:7" x14ac:dyDescent="0.35">
      <c r="A21" s="42">
        <v>1989</v>
      </c>
      <c r="B21" s="43">
        <v>1511.9</v>
      </c>
      <c r="C21" s="43">
        <v>1259191</v>
      </c>
      <c r="D21" s="43">
        <v>8.6199999999999992</v>
      </c>
      <c r="E21" s="60">
        <v>57076500</v>
      </c>
      <c r="F21" s="60"/>
      <c r="G21" s="43">
        <f t="shared" si="0"/>
        <v>1903.0053102720976</v>
      </c>
    </row>
    <row r="22" spans="1:7" x14ac:dyDescent="0.35">
      <c r="A22" s="42">
        <v>1990</v>
      </c>
      <c r="B22" s="43">
        <v>1511.9</v>
      </c>
      <c r="C22" s="43">
        <v>1266248</v>
      </c>
      <c r="D22" s="43">
        <v>8.66</v>
      </c>
      <c r="E22" s="60">
        <v>57237500</v>
      </c>
      <c r="F22" s="60"/>
      <c r="G22" s="43">
        <f t="shared" si="0"/>
        <v>1878.3577013053455</v>
      </c>
    </row>
    <row r="23" spans="1:7" x14ac:dyDescent="0.35">
      <c r="A23" s="42">
        <v>1991</v>
      </c>
      <c r="B23" s="43">
        <v>1488.64</v>
      </c>
      <c r="C23" s="43">
        <v>1248461</v>
      </c>
      <c r="D23" s="43">
        <v>8.6999999999999993</v>
      </c>
      <c r="E23" s="60">
        <v>57438700</v>
      </c>
      <c r="F23" s="60"/>
      <c r="G23" s="43">
        <f t="shared" si="0"/>
        <v>1836.9700192562386</v>
      </c>
    </row>
    <row r="24" spans="1:7" x14ac:dyDescent="0.35">
      <c r="A24" s="42">
        <v>1992</v>
      </c>
      <c r="B24" s="43">
        <v>1471.1950000000002</v>
      </c>
      <c r="C24" s="43">
        <v>1251525</v>
      </c>
      <c r="D24" s="43">
        <v>8.75</v>
      </c>
      <c r="E24" s="60">
        <v>57584500</v>
      </c>
      <c r="F24" s="60"/>
      <c r="G24" s="43">
        <f t="shared" si="0"/>
        <v>1805.3935844799944</v>
      </c>
    </row>
    <row r="25" spans="1:7" x14ac:dyDescent="0.35">
      <c r="A25" s="42">
        <v>1993</v>
      </c>
      <c r="B25" s="59">
        <v>1453.75</v>
      </c>
      <c r="C25" s="59">
        <v>1279802</v>
      </c>
      <c r="D25" s="59">
        <v>8.8000000000000007</v>
      </c>
      <c r="E25" s="59">
        <v>57713900</v>
      </c>
      <c r="F25" s="59"/>
      <c r="G25" s="59">
        <f t="shared" si="0"/>
        <v>1789.6334431448122</v>
      </c>
    </row>
    <row r="26" spans="1:7" x14ac:dyDescent="0.35">
      <c r="A26" s="42">
        <v>1994</v>
      </c>
      <c r="B26" s="43">
        <v>1451.424</v>
      </c>
      <c r="C26" s="43">
        <v>1323443</v>
      </c>
      <c r="D26" s="43">
        <v>8.85</v>
      </c>
      <c r="E26" s="60">
        <v>57862100</v>
      </c>
      <c r="F26" s="60"/>
      <c r="G26" s="43">
        <f t="shared" si="0"/>
        <v>1782.1275541447803</v>
      </c>
    </row>
    <row r="27" spans="1:7" x14ac:dyDescent="0.35">
      <c r="A27" s="42">
        <v>1995</v>
      </c>
      <c r="B27" s="43">
        <v>1436.3050000000001</v>
      </c>
      <c r="C27" s="43">
        <v>1355023</v>
      </c>
      <c r="D27" s="43">
        <v>8.9</v>
      </c>
      <c r="E27" s="60">
        <v>58024800</v>
      </c>
      <c r="F27" s="60"/>
      <c r="G27" s="43">
        <f t="shared" si="0"/>
        <v>1766.7359132726415</v>
      </c>
    </row>
    <row r="28" spans="1:7" x14ac:dyDescent="0.35">
      <c r="A28" s="42">
        <v>1996</v>
      </c>
      <c r="B28" s="43">
        <v>1453.75</v>
      </c>
      <c r="C28" s="43">
        <v>1390010</v>
      </c>
      <c r="D28" s="43">
        <v>8.94</v>
      </c>
      <c r="E28" s="60">
        <v>58164400</v>
      </c>
      <c r="F28" s="60"/>
      <c r="G28" s="43">
        <f t="shared" si="0"/>
        <v>1759.7643404690298</v>
      </c>
    </row>
    <row r="29" spans="1:7" x14ac:dyDescent="0.35">
      <c r="A29" s="42">
        <v>1997</v>
      </c>
      <c r="B29" s="43">
        <v>1477.01</v>
      </c>
      <c r="C29" s="43">
        <v>1458467</v>
      </c>
      <c r="D29" s="43">
        <v>8.98</v>
      </c>
      <c r="E29" s="60">
        <v>58314200</v>
      </c>
      <c r="F29" s="60"/>
      <c r="G29" s="43">
        <f t="shared" si="0"/>
        <v>1772.2523602455622</v>
      </c>
    </row>
    <row r="30" spans="1:7" x14ac:dyDescent="0.35">
      <c r="A30" s="42">
        <v>1998</v>
      </c>
      <c r="B30" s="43">
        <v>1511.9</v>
      </c>
      <c r="C30" s="43">
        <v>1508263</v>
      </c>
      <c r="D30" s="43">
        <v>9.02</v>
      </c>
      <c r="E30" s="60">
        <v>58474900</v>
      </c>
      <c r="F30" s="60"/>
      <c r="G30" s="43">
        <f t="shared" si="0"/>
        <v>1773.093704870319</v>
      </c>
    </row>
    <row r="31" spans="1:7" x14ac:dyDescent="0.35">
      <c r="A31" s="42">
        <v>1999</v>
      </c>
      <c r="B31" s="43">
        <v>1535.16</v>
      </c>
      <c r="C31" s="43">
        <v>1554509</v>
      </c>
      <c r="D31" s="43">
        <v>9.0500000000000007</v>
      </c>
      <c r="E31" s="60">
        <v>58684400</v>
      </c>
      <c r="F31" s="60"/>
      <c r="G31" s="43">
        <f t="shared" si="0"/>
        <v>1774.7532119781426</v>
      </c>
    </row>
    <row r="32" spans="1:7" x14ac:dyDescent="0.35">
      <c r="A32" s="42">
        <v>2000</v>
      </c>
      <c r="B32" s="43">
        <v>1767.7600000000002</v>
      </c>
      <c r="C32" s="43">
        <v>1621644</v>
      </c>
      <c r="D32" s="43">
        <v>9.09</v>
      </c>
      <c r="E32" s="60">
        <v>58886100</v>
      </c>
      <c r="F32" s="60"/>
      <c r="G32" s="43">
        <f t="shared" si="0"/>
        <v>1783.9591727972074</v>
      </c>
    </row>
    <row r="33" spans="1:7" x14ac:dyDescent="0.35">
      <c r="A33" s="42">
        <v>2001</v>
      </c>
      <c r="B33" s="43">
        <v>1802.65</v>
      </c>
      <c r="C33" s="43">
        <v>1663462</v>
      </c>
      <c r="D33" s="43">
        <v>9.1199999999999992</v>
      </c>
      <c r="E33" s="60">
        <v>59113000</v>
      </c>
      <c r="F33" s="60"/>
      <c r="G33" s="43">
        <f t="shared" si="0"/>
        <v>1782.1432087725261</v>
      </c>
    </row>
    <row r="34" spans="1:7" x14ac:dyDescent="0.35">
      <c r="A34" s="42">
        <v>2002</v>
      </c>
      <c r="B34" s="43">
        <v>1781.7159999999999</v>
      </c>
      <c r="C34" s="43">
        <v>1693271</v>
      </c>
      <c r="D34" s="43">
        <v>9.14</v>
      </c>
      <c r="E34" s="60">
        <v>59365700</v>
      </c>
      <c r="F34" s="60"/>
      <c r="G34" s="43">
        <f t="shared" si="0"/>
        <v>1777.2087062771679</v>
      </c>
    </row>
    <row r="35" spans="1:7" x14ac:dyDescent="0.35">
      <c r="A35" s="42">
        <v>2003</v>
      </c>
      <c r="B35" s="43">
        <v>1796.835</v>
      </c>
      <c r="C35" s="43">
        <v>1746551</v>
      </c>
      <c r="D35" s="43">
        <v>9.16</v>
      </c>
      <c r="E35" s="60">
        <v>59636700</v>
      </c>
      <c r="F35" s="60"/>
      <c r="G35" s="43">
        <f t="shared" si="0"/>
        <v>1785.3846528842578</v>
      </c>
    </row>
    <row r="36" spans="1:7" x14ac:dyDescent="0.35">
      <c r="A36" s="42">
        <v>2004</v>
      </c>
      <c r="B36" s="43">
        <v>1800.3240000000003</v>
      </c>
      <c r="C36" s="43">
        <v>1788931</v>
      </c>
      <c r="D36" s="43">
        <v>9.17</v>
      </c>
      <c r="E36" s="60">
        <v>59950400</v>
      </c>
      <c r="F36" s="60"/>
      <c r="G36" s="43">
        <f t="shared" si="0"/>
        <v>1790.290940802417</v>
      </c>
    </row>
    <row r="37" spans="1:7" x14ac:dyDescent="0.35">
      <c r="A37" s="42">
        <v>2005</v>
      </c>
      <c r="B37" s="59">
        <v>1791.0200000000002</v>
      </c>
      <c r="C37" s="59">
        <v>1837927</v>
      </c>
      <c r="D37" s="59">
        <v>9.19</v>
      </c>
      <c r="E37" s="59">
        <v>60413300</v>
      </c>
      <c r="F37" s="59"/>
      <c r="G37" s="59">
        <f t="shared" si="0"/>
        <v>1786.6915566307161</v>
      </c>
    </row>
    <row r="38" spans="1:7" x14ac:dyDescent="0.35">
      <c r="A38" s="42">
        <v>2006</v>
      </c>
      <c r="B38" s="43">
        <v>1773.575</v>
      </c>
      <c r="C38" s="43">
        <v>1881785</v>
      </c>
      <c r="D38" s="43">
        <v>9.1999999999999993</v>
      </c>
      <c r="E38" s="60">
        <v>60827100</v>
      </c>
      <c r="F38" s="60"/>
      <c r="G38" s="43">
        <f t="shared" si="0"/>
        <v>1787.6684459646312</v>
      </c>
    </row>
    <row r="39" spans="1:7" x14ac:dyDescent="0.35">
      <c r="A39" s="42">
        <v>2007</v>
      </c>
      <c r="B39" s="43">
        <v>1744.5000000000002</v>
      </c>
      <c r="C39" s="43">
        <v>1931094</v>
      </c>
      <c r="D39" s="43">
        <v>9.2100000000000009</v>
      </c>
      <c r="E39" s="60">
        <v>61319100</v>
      </c>
      <c r="F39" s="60"/>
      <c r="G39" s="43">
        <f t="shared" si="0"/>
        <v>1788.1364554688189</v>
      </c>
    </row>
    <row r="40" spans="1:7" x14ac:dyDescent="0.35">
      <c r="A40" s="42">
        <v>2008</v>
      </c>
      <c r="B40" s="43">
        <v>1727.0550000000001</v>
      </c>
      <c r="C40" s="43">
        <v>1926735</v>
      </c>
      <c r="D40" s="43">
        <v>9.2200000000000006</v>
      </c>
      <c r="E40" s="60">
        <v>61823800</v>
      </c>
      <c r="F40" s="60"/>
      <c r="G40" s="43">
        <f t="shared" si="0"/>
        <v>1756.0054035650774</v>
      </c>
    </row>
    <row r="41" spans="1:7" x14ac:dyDescent="0.35">
      <c r="A41" s="42">
        <v>2009</v>
      </c>
      <c r="B41" s="43">
        <v>1628.2</v>
      </c>
      <c r="C41" s="43">
        <v>1837817</v>
      </c>
      <c r="D41" s="43">
        <v>9.23</v>
      </c>
      <c r="E41" s="60">
        <v>62260500</v>
      </c>
      <c r="F41" s="60"/>
      <c r="G41" s="43">
        <f t="shared" si="0"/>
        <v>1676.7408231200861</v>
      </c>
    </row>
    <row r="42" spans="1:7" x14ac:dyDescent="0.35">
      <c r="A42" s="42">
        <v>2010</v>
      </c>
      <c r="B42" s="43">
        <v>1657.2750000000001</v>
      </c>
      <c r="C42" s="43">
        <v>1878960</v>
      </c>
      <c r="D42" s="43">
        <v>9.23</v>
      </c>
      <c r="E42" s="60">
        <v>62759500</v>
      </c>
      <c r="F42" s="60"/>
      <c r="G42" s="43">
        <f t="shared" si="0"/>
        <v>1677.2843543863437</v>
      </c>
    </row>
    <row r="43" spans="1:7" x14ac:dyDescent="0.35">
      <c r="A43" s="42">
        <v>2011</v>
      </c>
      <c r="B43" s="43">
        <v>1651.46</v>
      </c>
      <c r="C43" s="43">
        <v>1900476</v>
      </c>
      <c r="D43" s="43">
        <v>9.25</v>
      </c>
      <c r="E43" s="60">
        <v>63285100</v>
      </c>
      <c r="F43" s="60"/>
      <c r="G43" s="43">
        <f t="shared" si="0"/>
        <v>1654.2924625302876</v>
      </c>
    </row>
    <row r="44" spans="1:7" x14ac:dyDescent="0.35">
      <c r="A44" s="42">
        <v>2012</v>
      </c>
      <c r="B44" s="43">
        <v>1680.5350000000001</v>
      </c>
      <c r="C44" s="43">
        <v>1929229</v>
      </c>
      <c r="D44" s="43">
        <v>9.27</v>
      </c>
      <c r="E44" s="60">
        <v>63710800</v>
      </c>
      <c r="F44" s="60"/>
      <c r="G44" s="43">
        <f t="shared" si="0"/>
        <v>1640.4149249257061</v>
      </c>
    </row>
    <row r="45" spans="1:7" x14ac:dyDescent="0.35">
      <c r="A45" s="42">
        <v>2013</v>
      </c>
      <c r="B45" s="43">
        <v>1672.3940000000002</v>
      </c>
      <c r="C45" s="43">
        <v>1963807</v>
      </c>
      <c r="D45" s="43">
        <v>9.2799999999999994</v>
      </c>
      <c r="E45" s="61">
        <v>64138700</v>
      </c>
      <c r="F45" s="60"/>
      <c r="G45" s="63">
        <f t="shared" si="0"/>
        <v>1635.1828967868787</v>
      </c>
    </row>
    <row r="46" spans="1:7" x14ac:dyDescent="0.35">
      <c r="A46" s="42">
        <v>2014</v>
      </c>
      <c r="B46" s="43">
        <v>1636.3409999999999</v>
      </c>
      <c r="C46" s="43">
        <v>2026566</v>
      </c>
      <c r="D46" s="43">
        <v>9.31</v>
      </c>
      <c r="E46" s="61">
        <v>64619500</v>
      </c>
      <c r="F46" s="65">
        <v>10.7</v>
      </c>
      <c r="G46" s="63">
        <f t="shared" si="0"/>
        <v>1633.6474941397819</v>
      </c>
    </row>
    <row r="47" spans="1:7" x14ac:dyDescent="0.35">
      <c r="A47" s="42">
        <v>2015</v>
      </c>
      <c r="B47" s="43">
        <v>1652.623</v>
      </c>
      <c r="C47" s="43">
        <v>2071561</v>
      </c>
      <c r="D47" s="43">
        <v>9.33</v>
      </c>
      <c r="E47" s="61">
        <v>65088100</v>
      </c>
      <c r="F47" s="65">
        <v>14.2</v>
      </c>
      <c r="G47" s="63">
        <f t="shared" si="0"/>
        <v>1627.3894014945927</v>
      </c>
    </row>
    <row r="48" spans="1:7" x14ac:dyDescent="0.35">
      <c r="A48" s="42">
        <v>2016</v>
      </c>
      <c r="B48" s="43">
        <v>1651.46</v>
      </c>
      <c r="C48" s="43">
        <v>2111357</v>
      </c>
      <c r="D48" s="43">
        <v>9.35</v>
      </c>
      <c r="E48" s="61">
        <v>65607100</v>
      </c>
      <c r="F48" s="65">
        <v>14.5</v>
      </c>
      <c r="G48" s="63">
        <f t="shared" si="0"/>
        <v>1615.6104513361506</v>
      </c>
    </row>
    <row r="49" spans="1:7" x14ac:dyDescent="0.35">
      <c r="A49" s="42">
        <v>2017</v>
      </c>
      <c r="B49" s="59">
        <v>1645.6450000000002</v>
      </c>
      <c r="C49" s="59">
        <v>2167415</v>
      </c>
      <c r="D49" s="59">
        <v>9.3699999999999992</v>
      </c>
      <c r="E49" s="62">
        <v>65966000</v>
      </c>
      <c r="F49" s="65">
        <v>20.3</v>
      </c>
      <c r="G49" s="64">
        <f t="shared" si="0"/>
        <v>1621.2181405359188</v>
      </c>
    </row>
    <row r="50" spans="1:7" x14ac:dyDescent="0.35">
      <c r="A50" s="42">
        <v>2018</v>
      </c>
      <c r="B50" s="43">
        <v>1651.46</v>
      </c>
      <c r="C50" s="43">
        <v>2197841</v>
      </c>
      <c r="D50" s="43">
        <v>9.3800000000000008</v>
      </c>
      <c r="E50" s="61">
        <v>66288900</v>
      </c>
      <c r="F50" s="65">
        <v>27.6</v>
      </c>
      <c r="G50" s="63">
        <f t="shared" si="0"/>
        <v>1618.5571481524212</v>
      </c>
    </row>
    <row r="51" spans="1:7" x14ac:dyDescent="0.35">
      <c r="A51" s="42">
        <v>2019</v>
      </c>
      <c r="B51" s="43">
        <v>1651.46</v>
      </c>
      <c r="C51" s="43">
        <v>2233921</v>
      </c>
      <c r="D51" s="43">
        <v>9.39</v>
      </c>
      <c r="E51" s="61">
        <v>66630700</v>
      </c>
      <c r="F51" s="65">
        <v>31.5</v>
      </c>
      <c r="G51" s="63">
        <f t="shared" si="0"/>
        <v>1618.3579670514064</v>
      </c>
    </row>
    <row r="52" spans="1:7" x14ac:dyDescent="0.35">
      <c r="A52" s="42">
        <v>2020</v>
      </c>
      <c r="B52" s="43">
        <v>1418.8600000000001</v>
      </c>
      <c r="C52" s="43">
        <v>2002489</v>
      </c>
      <c r="D52" s="43">
        <v>9.41</v>
      </c>
      <c r="E52" s="61">
        <v>66744100</v>
      </c>
      <c r="F52" s="65">
        <v>37.5</v>
      </c>
      <c r="G52" s="63">
        <f t="shared" si="0"/>
        <v>1464.4051714674388</v>
      </c>
    </row>
    <row r="53" spans="1:7" x14ac:dyDescent="0.35">
      <c r="A53" s="42">
        <v>2021</v>
      </c>
      <c r="B53" s="43">
        <v>1686.3500000000001</v>
      </c>
      <c r="C53" s="43">
        <v>2176203</v>
      </c>
      <c r="D53" s="43">
        <v>9.41</v>
      </c>
      <c r="E53" s="61">
        <v>66983500</v>
      </c>
      <c r="F53" s="65">
        <v>33.700000000000003</v>
      </c>
      <c r="G53" s="63">
        <f t="shared" si="0"/>
        <v>1556.4427273918482</v>
      </c>
    </row>
    <row r="54" spans="1:7" x14ac:dyDescent="0.35">
      <c r="A54" s="42">
        <v>2022</v>
      </c>
      <c r="B54" s="43">
        <v>1463.0540000000001</v>
      </c>
      <c r="C54" s="43">
        <v>2270764</v>
      </c>
      <c r="D54" s="43">
        <v>9.42</v>
      </c>
      <c r="E54" s="61">
        <v>67602800</v>
      </c>
      <c r="F54" s="65">
        <v>37.5</v>
      </c>
      <c r="G54" s="63">
        <f t="shared" si="0"/>
        <v>1577.7656753999509</v>
      </c>
    </row>
    <row r="55" spans="1:7" x14ac:dyDescent="0.35">
      <c r="A55" s="42">
        <v>2023</v>
      </c>
      <c r="B55" s="43">
        <v>1453.75</v>
      </c>
      <c r="C55" s="43">
        <v>2273126</v>
      </c>
      <c r="D55" s="43">
        <v>9.4499999999999993</v>
      </c>
      <c r="E55" s="61">
        <v>68265200</v>
      </c>
      <c r="F55" s="65">
        <v>37.799999999999997</v>
      </c>
      <c r="G55" s="63">
        <f t="shared" si="0"/>
        <v>1531.5038181183181</v>
      </c>
    </row>
  </sheetData>
  <mergeCells count="1">
    <mergeCell ref="K2:O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FE1A-5A6A-421F-A92A-6AD2D3D9D118}">
  <dimension ref="B2:T25"/>
  <sheetViews>
    <sheetView showGridLines="0" zoomScale="53" workbookViewId="0">
      <selection activeCell="K28" sqref="K28"/>
    </sheetView>
  </sheetViews>
  <sheetFormatPr defaultRowHeight="14.5" x14ac:dyDescent="0.35"/>
  <cols>
    <col min="3" max="3" width="7.6328125" bestFit="1" customWidth="1"/>
    <col min="6" max="6" width="14.81640625" customWidth="1"/>
    <col min="7" max="7" width="18.7265625" customWidth="1"/>
    <col min="20" max="20" width="14" bestFit="1" customWidth="1"/>
  </cols>
  <sheetData>
    <row r="2" spans="2:20" ht="29" x14ac:dyDescent="0.35">
      <c r="B2" s="34" t="s">
        <v>24</v>
      </c>
      <c r="C2" s="34" t="s">
        <v>123</v>
      </c>
      <c r="D2" s="34" t="s">
        <v>124</v>
      </c>
      <c r="E2" s="34" t="s">
        <v>125</v>
      </c>
      <c r="F2" s="34" t="s">
        <v>126</v>
      </c>
      <c r="G2" s="34" t="s">
        <v>127</v>
      </c>
    </row>
    <row r="3" spans="2:20" x14ac:dyDescent="0.35">
      <c r="B3" s="35">
        <v>2010</v>
      </c>
      <c r="C3" s="35">
        <v>30</v>
      </c>
      <c r="D3" s="35">
        <v>45</v>
      </c>
      <c r="E3" s="35">
        <v>18</v>
      </c>
      <c r="F3" s="35">
        <v>5</v>
      </c>
      <c r="G3" s="35">
        <v>2</v>
      </c>
    </row>
    <row r="4" spans="2:20" x14ac:dyDescent="0.35">
      <c r="B4" s="35">
        <v>2011</v>
      </c>
      <c r="C4" s="35">
        <v>28</v>
      </c>
      <c r="D4" s="35">
        <v>44</v>
      </c>
      <c r="E4" s="35">
        <v>18</v>
      </c>
      <c r="F4" s="35">
        <v>7</v>
      </c>
      <c r="G4" s="35">
        <v>3</v>
      </c>
    </row>
    <row r="5" spans="2:20" x14ac:dyDescent="0.35">
      <c r="B5" s="35">
        <v>2012</v>
      </c>
      <c r="C5" s="35">
        <v>25</v>
      </c>
      <c r="D5" s="35">
        <v>43</v>
      </c>
      <c r="E5" s="35">
        <v>18</v>
      </c>
      <c r="F5" s="35">
        <v>10</v>
      </c>
      <c r="G5" s="35">
        <v>4</v>
      </c>
    </row>
    <row r="6" spans="2:20" x14ac:dyDescent="0.35">
      <c r="B6" s="35">
        <v>2013</v>
      </c>
      <c r="C6" s="35">
        <v>23</v>
      </c>
      <c r="D6" s="35">
        <v>40</v>
      </c>
      <c r="E6" s="35">
        <v>18</v>
      </c>
      <c r="F6" s="35">
        <v>15</v>
      </c>
      <c r="G6" s="35">
        <v>4</v>
      </c>
    </row>
    <row r="7" spans="2:20" x14ac:dyDescent="0.35">
      <c r="B7" s="35">
        <v>2014</v>
      </c>
      <c r="C7" s="35">
        <v>20</v>
      </c>
      <c r="D7" s="35">
        <v>38</v>
      </c>
      <c r="E7" s="35">
        <v>17</v>
      </c>
      <c r="F7" s="35">
        <v>20</v>
      </c>
      <c r="G7" s="35">
        <v>5</v>
      </c>
    </row>
    <row r="8" spans="2:20" x14ac:dyDescent="0.35">
      <c r="B8" s="35">
        <v>2015</v>
      </c>
      <c r="C8" s="35">
        <v>18</v>
      </c>
      <c r="D8" s="35">
        <v>35</v>
      </c>
      <c r="E8" s="35">
        <v>17</v>
      </c>
      <c r="F8" s="35">
        <v>25</v>
      </c>
      <c r="G8" s="35">
        <v>5</v>
      </c>
    </row>
    <row r="9" spans="2:20" ht="29" x14ac:dyDescent="0.35">
      <c r="B9" s="35">
        <v>2016</v>
      </c>
      <c r="C9" s="35">
        <v>15</v>
      </c>
      <c r="D9" s="35">
        <v>30</v>
      </c>
      <c r="E9" s="35">
        <v>18</v>
      </c>
      <c r="F9" s="35">
        <v>32</v>
      </c>
      <c r="G9" s="35">
        <v>5</v>
      </c>
      <c r="R9" s="34" t="s">
        <v>24</v>
      </c>
      <c r="S9" s="34" t="s">
        <v>125</v>
      </c>
      <c r="T9" t="s">
        <v>129</v>
      </c>
    </row>
    <row r="10" spans="2:20" x14ac:dyDescent="0.35">
      <c r="B10" s="35">
        <v>2017</v>
      </c>
      <c r="C10" s="35">
        <v>12</v>
      </c>
      <c r="D10" s="35">
        <v>25</v>
      </c>
      <c r="E10" s="35">
        <v>19</v>
      </c>
      <c r="F10" s="35">
        <v>38</v>
      </c>
      <c r="G10" s="35">
        <v>6</v>
      </c>
      <c r="R10" s="35">
        <v>2024</v>
      </c>
      <c r="S10" s="35">
        <v>24</v>
      </c>
      <c r="T10">
        <v>1798.26</v>
      </c>
    </row>
    <row r="11" spans="2:20" x14ac:dyDescent="0.35">
      <c r="B11" s="35">
        <v>2018</v>
      </c>
      <c r="C11" s="35">
        <v>10</v>
      </c>
      <c r="D11" s="35">
        <v>20</v>
      </c>
      <c r="E11" s="35">
        <v>20</v>
      </c>
      <c r="F11" s="35">
        <v>45</v>
      </c>
      <c r="G11" s="35">
        <v>5</v>
      </c>
      <c r="R11" s="35">
        <v>2025</v>
      </c>
      <c r="S11" s="35">
        <v>25</v>
      </c>
      <c r="T11">
        <v>1789.27</v>
      </c>
    </row>
    <row r="12" spans="2:20" x14ac:dyDescent="0.35">
      <c r="B12" s="35">
        <v>2019</v>
      </c>
      <c r="C12" s="35">
        <v>8</v>
      </c>
      <c r="D12" s="35">
        <v>18</v>
      </c>
      <c r="E12" s="35">
        <v>20</v>
      </c>
      <c r="F12" s="35">
        <v>49</v>
      </c>
      <c r="G12" s="35">
        <v>5</v>
      </c>
      <c r="R12" s="35">
        <v>2030</v>
      </c>
      <c r="S12" s="35">
        <v>27</v>
      </c>
      <c r="T12">
        <v>1744.99</v>
      </c>
    </row>
    <row r="13" spans="2:20" x14ac:dyDescent="0.35">
      <c r="B13" s="35">
        <v>2020</v>
      </c>
      <c r="C13" s="35">
        <v>5</v>
      </c>
      <c r="D13" s="35">
        <v>15</v>
      </c>
      <c r="E13" s="35">
        <v>20</v>
      </c>
      <c r="F13" s="35">
        <v>55</v>
      </c>
      <c r="G13" s="35">
        <v>5</v>
      </c>
      <c r="R13" s="35">
        <v>2035</v>
      </c>
      <c r="S13" s="35">
        <v>28</v>
      </c>
      <c r="T13">
        <v>1701.79</v>
      </c>
    </row>
    <row r="14" spans="2:20" x14ac:dyDescent="0.35">
      <c r="B14" s="35">
        <v>2021</v>
      </c>
      <c r="C14" s="35">
        <v>4</v>
      </c>
      <c r="D14" s="35">
        <v>12</v>
      </c>
      <c r="E14" s="35">
        <v>21</v>
      </c>
      <c r="F14" s="35">
        <v>58</v>
      </c>
      <c r="G14" s="35">
        <v>5</v>
      </c>
      <c r="R14" s="35">
        <v>2040</v>
      </c>
      <c r="S14" s="35">
        <v>30</v>
      </c>
      <c r="T14">
        <v>1659.67</v>
      </c>
    </row>
    <row r="15" spans="2:20" x14ac:dyDescent="0.35">
      <c r="B15" s="35">
        <v>2022</v>
      </c>
      <c r="C15" s="35">
        <v>3</v>
      </c>
      <c r="D15" s="35">
        <v>10</v>
      </c>
      <c r="E15" s="35">
        <v>22</v>
      </c>
      <c r="F15" s="35">
        <v>60</v>
      </c>
      <c r="G15" s="35">
        <v>5</v>
      </c>
      <c r="R15" s="35">
        <v>2045</v>
      </c>
      <c r="S15" s="35">
        <v>32</v>
      </c>
      <c r="T15">
        <v>1618.59</v>
      </c>
    </row>
    <row r="16" spans="2:20" x14ac:dyDescent="0.35">
      <c r="B16" s="35">
        <v>2023</v>
      </c>
      <c r="C16" s="35">
        <v>2</v>
      </c>
      <c r="D16" s="35">
        <v>8</v>
      </c>
      <c r="E16" s="35">
        <v>23</v>
      </c>
      <c r="F16" s="35">
        <v>62</v>
      </c>
      <c r="G16" s="35">
        <v>5</v>
      </c>
      <c r="R16" s="35">
        <v>2050</v>
      </c>
      <c r="S16" s="35">
        <v>35</v>
      </c>
      <c r="T16">
        <v>1578.53</v>
      </c>
    </row>
    <row r="17" spans="2:7" x14ac:dyDescent="0.35">
      <c r="B17" s="36" t="s">
        <v>128</v>
      </c>
      <c r="C17" s="35"/>
      <c r="D17" s="35"/>
      <c r="E17" s="35"/>
      <c r="F17" s="35"/>
      <c r="G17" s="35"/>
    </row>
    <row r="18" spans="2:7" ht="29" x14ac:dyDescent="0.35">
      <c r="B18" s="34" t="s">
        <v>24</v>
      </c>
      <c r="C18" s="34" t="s">
        <v>123</v>
      </c>
      <c r="D18" s="34" t="s">
        <v>124</v>
      </c>
      <c r="E18" s="34" t="s">
        <v>125</v>
      </c>
      <c r="F18" s="34" t="s">
        <v>126</v>
      </c>
      <c r="G18" s="34" t="s">
        <v>127</v>
      </c>
    </row>
    <row r="19" spans="2:7" x14ac:dyDescent="0.35">
      <c r="B19" s="35">
        <v>2024</v>
      </c>
      <c r="C19" s="35">
        <v>1.5</v>
      </c>
      <c r="D19" s="35">
        <v>6</v>
      </c>
      <c r="E19" s="35">
        <v>24</v>
      </c>
      <c r="F19" s="35">
        <v>64</v>
      </c>
      <c r="G19" s="35">
        <v>4.5</v>
      </c>
    </row>
    <row r="20" spans="2:7" x14ac:dyDescent="0.35">
      <c r="B20" s="35">
        <v>2025</v>
      </c>
      <c r="C20" s="35">
        <v>1</v>
      </c>
      <c r="D20" s="35">
        <v>4</v>
      </c>
      <c r="E20" s="35">
        <v>25</v>
      </c>
      <c r="F20" s="35">
        <v>66</v>
      </c>
      <c r="G20" s="35">
        <v>4</v>
      </c>
    </row>
    <row r="21" spans="2:7" x14ac:dyDescent="0.35">
      <c r="B21" s="35">
        <v>2030</v>
      </c>
      <c r="C21" s="35">
        <v>0.5</v>
      </c>
      <c r="D21" s="35">
        <v>2</v>
      </c>
      <c r="E21" s="35">
        <v>27</v>
      </c>
      <c r="F21" s="35">
        <v>68</v>
      </c>
      <c r="G21" s="35">
        <v>2.5</v>
      </c>
    </row>
    <row r="22" spans="2:7" x14ac:dyDescent="0.35">
      <c r="B22" s="35">
        <v>2035</v>
      </c>
      <c r="C22" s="35">
        <v>0.2</v>
      </c>
      <c r="D22" s="35">
        <v>1</v>
      </c>
      <c r="E22" s="35">
        <v>28</v>
      </c>
      <c r="F22" s="35">
        <v>70</v>
      </c>
      <c r="G22" s="35">
        <v>0.8</v>
      </c>
    </row>
    <row r="23" spans="2:7" x14ac:dyDescent="0.35">
      <c r="B23" s="35">
        <v>2040</v>
      </c>
      <c r="C23" s="35">
        <v>0</v>
      </c>
      <c r="D23" s="35">
        <v>0</v>
      </c>
      <c r="E23" s="35">
        <v>30</v>
      </c>
      <c r="F23" s="35">
        <v>70</v>
      </c>
      <c r="G23" s="35">
        <v>0</v>
      </c>
    </row>
    <row r="24" spans="2:7" x14ac:dyDescent="0.35">
      <c r="B24" s="35">
        <v>2045</v>
      </c>
      <c r="C24" s="35">
        <v>0</v>
      </c>
      <c r="D24" s="35">
        <v>0</v>
      </c>
      <c r="E24" s="35">
        <v>32</v>
      </c>
      <c r="F24" s="35">
        <v>68</v>
      </c>
      <c r="G24" s="35">
        <v>0</v>
      </c>
    </row>
    <row r="25" spans="2:7" x14ac:dyDescent="0.35">
      <c r="B25" s="35">
        <v>2050</v>
      </c>
      <c r="C25" s="35">
        <v>0</v>
      </c>
      <c r="D25" s="35">
        <v>0</v>
      </c>
      <c r="E25" s="35">
        <v>35</v>
      </c>
      <c r="F25" s="35">
        <v>65</v>
      </c>
      <c r="G25" s="35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4EBA-D924-4FAA-A0DE-7D9169FE2308}">
  <dimension ref="A1:BR156"/>
  <sheetViews>
    <sheetView showGridLines="0" topLeftCell="AL35" zoomScale="58" zoomScaleNormal="122" workbookViewId="0">
      <selection activeCell="AT75" sqref="AT75"/>
    </sheetView>
  </sheetViews>
  <sheetFormatPr defaultRowHeight="14.5" x14ac:dyDescent="0.35"/>
  <cols>
    <col min="2" max="2" width="33.36328125" customWidth="1"/>
    <col min="3" max="3" width="13.7265625" bestFit="1" customWidth="1"/>
    <col min="7" max="7" width="8.7265625" style="28"/>
    <col min="9" max="9" width="16.36328125" customWidth="1"/>
    <col min="10" max="10" width="11.453125" bestFit="1" customWidth="1"/>
    <col min="13" max="13" width="8.7265625" style="28"/>
    <col min="21" max="21" width="8.7265625" style="28"/>
    <col min="24" max="24" width="10.08984375" bestFit="1" customWidth="1"/>
    <col min="27" max="27" width="9.1796875" bestFit="1" customWidth="1"/>
    <col min="32" max="32" width="9.26953125" bestFit="1" customWidth="1"/>
    <col min="33" max="33" width="5.08984375" bestFit="1" customWidth="1"/>
    <col min="38" max="38" width="9.1796875" bestFit="1" customWidth="1"/>
    <col min="39" max="39" width="9.26953125" bestFit="1" customWidth="1"/>
    <col min="40" max="40" width="5.08984375" bestFit="1" customWidth="1"/>
    <col min="41" max="41" width="12" bestFit="1" customWidth="1"/>
    <col min="42" max="42" width="12.81640625" bestFit="1" customWidth="1"/>
    <col min="43" max="44" width="12.453125" bestFit="1" customWidth="1"/>
    <col min="50" max="50" width="9.26953125" bestFit="1" customWidth="1"/>
    <col min="55" max="55" width="12" bestFit="1" customWidth="1"/>
  </cols>
  <sheetData>
    <row r="1" spans="1:54" ht="15" thickBot="1" x14ac:dyDescent="0.4">
      <c r="A1" t="s">
        <v>20</v>
      </c>
      <c r="N1" s="99" t="s">
        <v>21</v>
      </c>
      <c r="O1" s="99"/>
      <c r="P1" s="99"/>
      <c r="Q1" s="99"/>
      <c r="R1" s="99"/>
      <c r="S1" s="99"/>
      <c r="AK1" t="s">
        <v>122</v>
      </c>
      <c r="AL1" t="s">
        <v>119</v>
      </c>
      <c r="AM1" t="s">
        <v>120</v>
      </c>
      <c r="AN1" t="s">
        <v>121</v>
      </c>
    </row>
    <row r="2" spans="1:54" ht="15" thickBot="1" x14ac:dyDescent="0.4">
      <c r="A2" t="s">
        <v>22</v>
      </c>
      <c r="I2" t="s">
        <v>23</v>
      </c>
      <c r="N2" s="99"/>
      <c r="O2" s="99"/>
      <c r="P2" s="99"/>
      <c r="Q2" s="99"/>
      <c r="R2" s="99"/>
      <c r="S2" s="99"/>
      <c r="W2" t="s">
        <v>24</v>
      </c>
      <c r="X2" t="s">
        <v>5</v>
      </c>
      <c r="AJ2" s="35">
        <v>1970</v>
      </c>
      <c r="AK2" s="37">
        <v>175</v>
      </c>
      <c r="AL2" s="56">
        <v>773977</v>
      </c>
      <c r="AM2">
        <v>55632200</v>
      </c>
      <c r="AN2">
        <v>8.2899999999999991</v>
      </c>
      <c r="AO2">
        <f>'Regression &amp; Forecast'!A18</f>
        <v>-1.1606249552848389E-2</v>
      </c>
      <c r="AV2" t="s">
        <v>122</v>
      </c>
      <c r="AW2" t="s">
        <v>119</v>
      </c>
      <c r="AX2" t="s">
        <v>120</v>
      </c>
      <c r="AY2" t="s">
        <v>121</v>
      </c>
    </row>
    <row r="3" spans="1:54" ht="15" thickBot="1" x14ac:dyDescent="0.4">
      <c r="J3" t="s">
        <v>25</v>
      </c>
      <c r="K3" t="s">
        <v>26</v>
      </c>
      <c r="N3" s="99"/>
      <c r="O3" s="99"/>
      <c r="P3" s="99"/>
      <c r="Q3" s="99"/>
      <c r="R3" s="99"/>
      <c r="S3" s="99"/>
      <c r="W3">
        <v>1871</v>
      </c>
      <c r="X3">
        <v>31484700</v>
      </c>
      <c r="AJ3" s="35">
        <v>1971</v>
      </c>
      <c r="AK3" s="37">
        <v>170</v>
      </c>
      <c r="AL3" s="56">
        <v>801969</v>
      </c>
      <c r="AM3">
        <v>55928000</v>
      </c>
      <c r="AN3">
        <v>8.3000000000000007</v>
      </c>
      <c r="AO3">
        <f>'Regression &amp; Forecast'!B18</f>
        <v>115631.39316642127</v>
      </c>
      <c r="AU3">
        <v>1970</v>
      </c>
      <c r="AV3">
        <v>175</v>
      </c>
      <c r="AW3">
        <v>773977</v>
      </c>
      <c r="AX3">
        <v>55632200</v>
      </c>
      <c r="AY3">
        <v>8.2899999999999991</v>
      </c>
      <c r="BB3">
        <f>AV3*11.63</f>
        <v>2035.2500000000002</v>
      </c>
    </row>
    <row r="4" spans="1:54" ht="15" thickBot="1" x14ac:dyDescent="0.4">
      <c r="A4">
        <v>1948</v>
      </c>
      <c r="B4" s="29">
        <v>381461</v>
      </c>
      <c r="I4">
        <v>2014</v>
      </c>
      <c r="J4">
        <v>10.7</v>
      </c>
      <c r="K4">
        <v>58.1</v>
      </c>
      <c r="W4">
        <v>1872</v>
      </c>
      <c r="X4">
        <v>31874200</v>
      </c>
      <c r="Z4" t="s">
        <v>117</v>
      </c>
      <c r="AA4" t="s">
        <v>2</v>
      </c>
      <c r="AJ4" s="35">
        <v>1972</v>
      </c>
      <c r="AK4" s="37">
        <v>165</v>
      </c>
      <c r="AL4" s="56">
        <v>836938</v>
      </c>
      <c r="AM4">
        <v>56096700</v>
      </c>
      <c r="AN4">
        <v>8.3000000000000007</v>
      </c>
      <c r="AO4">
        <f>'Regression &amp; Forecast'!D18</f>
        <v>7.0196531896471973E-2</v>
      </c>
      <c r="AU4">
        <v>1971</v>
      </c>
      <c r="AV4">
        <v>170</v>
      </c>
      <c r="AW4">
        <v>801969</v>
      </c>
      <c r="AX4">
        <v>55928000</v>
      </c>
      <c r="AY4">
        <v>8.3000000000000007</v>
      </c>
      <c r="BB4">
        <f t="shared" ref="BB4:BB56" si="0">AV4*11.63</f>
        <v>1977.1000000000001</v>
      </c>
    </row>
    <row r="5" spans="1:54" ht="15" thickBot="1" x14ac:dyDescent="0.4">
      <c r="A5">
        <v>1949</v>
      </c>
      <c r="B5" s="29">
        <v>394097</v>
      </c>
      <c r="I5">
        <v>2015</v>
      </c>
      <c r="J5">
        <v>14.2</v>
      </c>
      <c r="K5">
        <v>50.8</v>
      </c>
      <c r="O5" t="s">
        <v>27</v>
      </c>
      <c r="P5" t="s">
        <v>28</v>
      </c>
      <c r="Q5">
        <v>1884</v>
      </c>
      <c r="R5">
        <v>7.77</v>
      </c>
      <c r="W5">
        <v>1873</v>
      </c>
      <c r="X5">
        <v>32177600</v>
      </c>
      <c r="Z5" s="55" t="s">
        <v>41</v>
      </c>
      <c r="AA5" s="56">
        <v>381461</v>
      </c>
      <c r="AJ5" s="35">
        <v>1973</v>
      </c>
      <c r="AK5" s="37">
        <v>162</v>
      </c>
      <c r="AL5" s="56">
        <v>891381</v>
      </c>
      <c r="AM5">
        <v>56222900</v>
      </c>
      <c r="AN5">
        <v>8.3000000000000007</v>
      </c>
      <c r="AO5">
        <f>'Regression &amp; Forecast'!E18</f>
        <v>-412831.12975996058</v>
      </c>
      <c r="AU5">
        <v>1972</v>
      </c>
      <c r="AV5">
        <v>165</v>
      </c>
      <c r="AW5">
        <v>836938</v>
      </c>
      <c r="AX5">
        <v>56096700</v>
      </c>
      <c r="AY5">
        <v>8.3000000000000007</v>
      </c>
      <c r="BB5">
        <f t="shared" si="0"/>
        <v>1918.95</v>
      </c>
    </row>
    <row r="6" spans="1:54" ht="15" thickBot="1" x14ac:dyDescent="0.4">
      <c r="A6">
        <v>1950</v>
      </c>
      <c r="B6" s="29">
        <v>407268</v>
      </c>
      <c r="I6">
        <v>2016</v>
      </c>
      <c r="J6">
        <v>14.5</v>
      </c>
      <c r="K6">
        <v>49.9</v>
      </c>
      <c r="O6" t="s">
        <v>27</v>
      </c>
      <c r="P6" t="s">
        <v>28</v>
      </c>
      <c r="Q6">
        <v>1885</v>
      </c>
      <c r="R6">
        <v>7.77</v>
      </c>
      <c r="W6">
        <v>1874</v>
      </c>
      <c r="X6">
        <v>32501500</v>
      </c>
      <c r="Z6" s="55" t="s">
        <v>42</v>
      </c>
      <c r="AA6" s="56">
        <v>394097</v>
      </c>
      <c r="AJ6" s="35">
        <v>1974</v>
      </c>
      <c r="AK6" s="37">
        <v>158</v>
      </c>
      <c r="AL6" s="56">
        <v>869155</v>
      </c>
      <c r="AM6">
        <v>56235600</v>
      </c>
      <c r="AN6">
        <v>8.3000000000000007</v>
      </c>
      <c r="AU6">
        <v>1973</v>
      </c>
      <c r="AV6">
        <v>162</v>
      </c>
      <c r="AW6">
        <v>891381</v>
      </c>
      <c r="AX6">
        <v>56222900</v>
      </c>
      <c r="AY6">
        <v>8.3000000000000007</v>
      </c>
      <c r="BB6">
        <f t="shared" si="0"/>
        <v>1884.0600000000002</v>
      </c>
    </row>
    <row r="7" spans="1:54" ht="15" thickBot="1" x14ac:dyDescent="0.4">
      <c r="A7">
        <v>1951</v>
      </c>
      <c r="B7" s="29">
        <v>422401</v>
      </c>
      <c r="I7">
        <v>2017</v>
      </c>
      <c r="J7">
        <v>20.3</v>
      </c>
      <c r="K7">
        <v>44.7</v>
      </c>
      <c r="O7" t="s">
        <v>27</v>
      </c>
      <c r="P7" t="s">
        <v>28</v>
      </c>
      <c r="Q7">
        <v>1886</v>
      </c>
      <c r="R7">
        <v>7.78</v>
      </c>
      <c r="W7">
        <v>1875</v>
      </c>
      <c r="X7">
        <v>32838800</v>
      </c>
      <c r="Z7" s="55" t="s">
        <v>43</v>
      </c>
      <c r="AA7" s="56">
        <v>407268</v>
      </c>
      <c r="AJ7" s="35">
        <v>1975</v>
      </c>
      <c r="AK7" s="37">
        <v>150</v>
      </c>
      <c r="AL7" s="56">
        <v>856049</v>
      </c>
      <c r="AM7">
        <v>56225700</v>
      </c>
      <c r="AN7">
        <v>8.31</v>
      </c>
      <c r="AU7">
        <v>1974</v>
      </c>
      <c r="AV7">
        <v>158</v>
      </c>
      <c r="AW7">
        <v>869155</v>
      </c>
      <c r="AX7">
        <v>56235600</v>
      </c>
      <c r="AY7">
        <v>8.3000000000000007</v>
      </c>
      <c r="BB7">
        <f t="shared" si="0"/>
        <v>1837.5400000000002</v>
      </c>
    </row>
    <row r="8" spans="1:54" ht="15" thickBot="1" x14ac:dyDescent="0.4">
      <c r="A8">
        <v>1952</v>
      </c>
      <c r="B8" s="29">
        <v>428734</v>
      </c>
      <c r="I8">
        <v>2018</v>
      </c>
      <c r="J8">
        <v>27.6</v>
      </c>
      <c r="K8">
        <v>42.4</v>
      </c>
      <c r="O8" t="s">
        <v>27</v>
      </c>
      <c r="P8" t="s">
        <v>28</v>
      </c>
      <c r="Q8">
        <v>1887</v>
      </c>
      <c r="R8">
        <v>7.79</v>
      </c>
      <c r="W8">
        <v>1876</v>
      </c>
      <c r="X8">
        <v>33200000</v>
      </c>
      <c r="Z8" s="55" t="s">
        <v>44</v>
      </c>
      <c r="AA8" s="56">
        <v>422401</v>
      </c>
      <c r="AJ8" s="35">
        <v>1976</v>
      </c>
      <c r="AK8" s="37">
        <v>148</v>
      </c>
      <c r="AL8" s="56">
        <v>881878</v>
      </c>
      <c r="AM8">
        <v>56216100</v>
      </c>
      <c r="AN8">
        <v>8.32</v>
      </c>
      <c r="AU8">
        <v>1975</v>
      </c>
      <c r="AV8">
        <v>150</v>
      </c>
      <c r="AW8">
        <v>856049</v>
      </c>
      <c r="AX8">
        <v>56225700</v>
      </c>
      <c r="AY8">
        <v>8.31</v>
      </c>
      <c r="BB8">
        <f t="shared" si="0"/>
        <v>1744.5000000000002</v>
      </c>
    </row>
    <row r="9" spans="1:54" ht="15" thickBot="1" x14ac:dyDescent="0.4">
      <c r="A9">
        <v>1953</v>
      </c>
      <c r="B9" s="29">
        <v>452548</v>
      </c>
      <c r="I9">
        <v>2019</v>
      </c>
      <c r="J9">
        <v>31.5</v>
      </c>
      <c r="K9">
        <v>40.1</v>
      </c>
      <c r="O9" t="s">
        <v>27</v>
      </c>
      <c r="P9" t="s">
        <v>28</v>
      </c>
      <c r="Q9">
        <v>1888</v>
      </c>
      <c r="R9">
        <v>7.81</v>
      </c>
      <c r="W9">
        <v>1877</v>
      </c>
      <c r="X9">
        <v>33575900</v>
      </c>
      <c r="Z9" s="55" t="s">
        <v>45</v>
      </c>
      <c r="AA9" s="56">
        <v>428734</v>
      </c>
      <c r="AJ9" s="35">
        <v>1977</v>
      </c>
      <c r="AK9" s="37">
        <v>145</v>
      </c>
      <c r="AL9" s="56">
        <v>903587</v>
      </c>
      <c r="AM9">
        <v>56189900</v>
      </c>
      <c r="AN9">
        <v>8.33</v>
      </c>
      <c r="AU9">
        <v>1976</v>
      </c>
      <c r="AV9">
        <v>148</v>
      </c>
      <c r="AW9">
        <v>881878</v>
      </c>
      <c r="AX9">
        <v>56216100</v>
      </c>
      <c r="AY9">
        <v>8.32</v>
      </c>
      <c r="BB9">
        <f t="shared" si="0"/>
        <v>1721.24</v>
      </c>
    </row>
    <row r="10" spans="1:54" ht="15" thickBot="1" x14ac:dyDescent="0.4">
      <c r="A10">
        <v>1954</v>
      </c>
      <c r="B10" s="29">
        <v>472254</v>
      </c>
      <c r="I10">
        <v>2020</v>
      </c>
      <c r="J10">
        <v>37.5</v>
      </c>
      <c r="K10">
        <v>35.1</v>
      </c>
      <c r="O10" t="s">
        <v>27</v>
      </c>
      <c r="P10" t="s">
        <v>28</v>
      </c>
      <c r="Q10">
        <v>1889</v>
      </c>
      <c r="R10">
        <v>7.84</v>
      </c>
      <c r="W10">
        <v>1878</v>
      </c>
      <c r="X10">
        <v>33943800</v>
      </c>
      <c r="Z10" s="55" t="s">
        <v>46</v>
      </c>
      <c r="AA10" s="56">
        <v>452548</v>
      </c>
      <c r="AJ10" s="35">
        <v>1978</v>
      </c>
      <c r="AK10" s="37">
        <v>143</v>
      </c>
      <c r="AL10" s="56">
        <v>941461</v>
      </c>
      <c r="AM10">
        <v>56178000</v>
      </c>
      <c r="AN10">
        <v>8.34</v>
      </c>
      <c r="AU10">
        <v>1977</v>
      </c>
      <c r="AV10">
        <v>145</v>
      </c>
      <c r="AW10">
        <v>903587</v>
      </c>
      <c r="AX10">
        <v>56189900</v>
      </c>
      <c r="AY10">
        <v>8.33</v>
      </c>
      <c r="BB10">
        <f t="shared" si="0"/>
        <v>1686.3500000000001</v>
      </c>
    </row>
    <row r="11" spans="1:54" ht="15" thickBot="1" x14ac:dyDescent="0.4">
      <c r="A11">
        <v>1955</v>
      </c>
      <c r="B11" s="29">
        <v>491243</v>
      </c>
      <c r="I11">
        <v>2021</v>
      </c>
      <c r="J11">
        <v>33.700000000000003</v>
      </c>
      <c r="K11">
        <v>38.6</v>
      </c>
      <c r="O11" t="s">
        <v>27</v>
      </c>
      <c r="P11" t="s">
        <v>28</v>
      </c>
      <c r="Q11">
        <v>1890</v>
      </c>
      <c r="R11">
        <v>7.87</v>
      </c>
      <c r="W11">
        <v>1879</v>
      </c>
      <c r="X11">
        <v>34304000</v>
      </c>
      <c r="Z11" s="55" t="s">
        <v>47</v>
      </c>
      <c r="AA11" s="56">
        <v>472254</v>
      </c>
      <c r="AJ11" s="35">
        <v>1979</v>
      </c>
      <c r="AK11" s="37">
        <v>140</v>
      </c>
      <c r="AL11" s="56">
        <v>976566</v>
      </c>
      <c r="AM11">
        <v>56240100</v>
      </c>
      <c r="AN11">
        <v>8.35</v>
      </c>
      <c r="AU11">
        <v>1978</v>
      </c>
      <c r="AV11">
        <v>143</v>
      </c>
      <c r="AW11">
        <v>941461</v>
      </c>
      <c r="AX11">
        <v>56178000</v>
      </c>
      <c r="AY11">
        <v>8.34</v>
      </c>
      <c r="BB11">
        <f t="shared" si="0"/>
        <v>1663.0900000000001</v>
      </c>
    </row>
    <row r="12" spans="1:54" ht="15" thickBot="1" x14ac:dyDescent="0.4">
      <c r="A12">
        <v>1956</v>
      </c>
      <c r="B12" s="29">
        <v>499555</v>
      </c>
      <c r="I12">
        <v>2022</v>
      </c>
      <c r="J12">
        <v>37.5</v>
      </c>
      <c r="K12">
        <v>39.700000000000003</v>
      </c>
      <c r="O12" t="s">
        <v>27</v>
      </c>
      <c r="P12" t="s">
        <v>28</v>
      </c>
      <c r="Q12">
        <v>1891</v>
      </c>
      <c r="R12">
        <v>7.89</v>
      </c>
      <c r="W12">
        <v>1880</v>
      </c>
      <c r="X12">
        <v>34622900</v>
      </c>
      <c r="Z12" s="55" t="s">
        <v>48</v>
      </c>
      <c r="AA12" s="56">
        <v>491243</v>
      </c>
      <c r="AJ12" s="35">
        <v>1980</v>
      </c>
      <c r="AK12" s="37">
        <v>138</v>
      </c>
      <c r="AL12" s="56">
        <v>956533</v>
      </c>
      <c r="AM12">
        <v>56329700</v>
      </c>
      <c r="AN12">
        <v>8.36</v>
      </c>
      <c r="AU12">
        <v>1979</v>
      </c>
      <c r="AV12">
        <v>140</v>
      </c>
      <c r="AW12">
        <v>976566</v>
      </c>
      <c r="AX12">
        <v>56240100</v>
      </c>
      <c r="AY12">
        <v>8.35</v>
      </c>
      <c r="BB12">
        <f t="shared" si="0"/>
        <v>1628.2</v>
      </c>
    </row>
    <row r="13" spans="1:54" ht="15" thickBot="1" x14ac:dyDescent="0.4">
      <c r="A13">
        <v>1957</v>
      </c>
      <c r="B13" s="29">
        <v>509379</v>
      </c>
      <c r="I13">
        <v>2023</v>
      </c>
      <c r="J13">
        <v>39.5</v>
      </c>
      <c r="K13">
        <v>32.200000000000003</v>
      </c>
      <c r="O13" t="s">
        <v>27</v>
      </c>
      <c r="P13" t="s">
        <v>28</v>
      </c>
      <c r="Q13">
        <v>1892</v>
      </c>
      <c r="R13">
        <v>7.92</v>
      </c>
      <c r="W13">
        <v>1881</v>
      </c>
      <c r="X13">
        <v>34934500</v>
      </c>
      <c r="Z13" s="55" t="s">
        <v>49</v>
      </c>
      <c r="AA13" s="56">
        <v>499555</v>
      </c>
      <c r="AJ13" s="35">
        <v>1981</v>
      </c>
      <c r="AK13" s="37">
        <v>154</v>
      </c>
      <c r="AL13" s="56">
        <v>949961</v>
      </c>
      <c r="AM13">
        <v>56357500</v>
      </c>
      <c r="AN13">
        <v>8.3800000000000008</v>
      </c>
      <c r="AU13">
        <v>1980</v>
      </c>
      <c r="AV13">
        <v>138</v>
      </c>
      <c r="AW13">
        <v>956533</v>
      </c>
      <c r="AX13">
        <v>56329700</v>
      </c>
      <c r="AY13">
        <v>8.36</v>
      </c>
      <c r="BB13">
        <f t="shared" si="0"/>
        <v>1604.94</v>
      </c>
    </row>
    <row r="14" spans="1:54" ht="15" thickBot="1" x14ac:dyDescent="0.4">
      <c r="A14">
        <v>1958</v>
      </c>
      <c r="B14" s="29">
        <v>516239</v>
      </c>
      <c r="O14" t="s">
        <v>27</v>
      </c>
      <c r="P14" t="s">
        <v>28</v>
      </c>
      <c r="Q14">
        <v>1893</v>
      </c>
      <c r="R14">
        <v>7.95</v>
      </c>
      <c r="W14">
        <v>1882</v>
      </c>
      <c r="X14">
        <v>35206600</v>
      </c>
      <c r="Z14" s="55" t="s">
        <v>50</v>
      </c>
      <c r="AA14" s="56">
        <v>509379</v>
      </c>
      <c r="AJ14" s="35">
        <v>1982</v>
      </c>
      <c r="AK14" s="37">
        <v>150</v>
      </c>
      <c r="AL14" s="56">
        <v>968629</v>
      </c>
      <c r="AM14">
        <v>56290700</v>
      </c>
      <c r="AN14">
        <v>8.4</v>
      </c>
      <c r="AU14">
        <v>1981</v>
      </c>
      <c r="AV14">
        <v>154</v>
      </c>
      <c r="AW14">
        <v>949961</v>
      </c>
      <c r="AX14">
        <v>56357500</v>
      </c>
      <c r="AY14">
        <v>8.3800000000000008</v>
      </c>
      <c r="BB14">
        <f t="shared" si="0"/>
        <v>1791.0200000000002</v>
      </c>
    </row>
    <row r="15" spans="1:54" ht="15" thickBot="1" x14ac:dyDescent="0.4">
      <c r="A15">
        <v>1959</v>
      </c>
      <c r="B15" s="29">
        <v>538278</v>
      </c>
      <c r="O15" t="s">
        <v>27</v>
      </c>
      <c r="P15" t="s">
        <v>28</v>
      </c>
      <c r="Q15">
        <v>1894</v>
      </c>
      <c r="R15">
        <v>7.98</v>
      </c>
      <c r="W15">
        <v>1883</v>
      </c>
      <c r="X15">
        <v>35449700</v>
      </c>
      <c r="Z15" s="55" t="s">
        <v>51</v>
      </c>
      <c r="AA15" s="56">
        <v>516239</v>
      </c>
      <c r="AJ15" s="35">
        <v>1983</v>
      </c>
      <c r="AK15" s="37">
        <v>145</v>
      </c>
      <c r="AL15" s="56">
        <v>1008981</v>
      </c>
      <c r="AM15">
        <v>56315700</v>
      </c>
      <c r="AN15">
        <v>8.42</v>
      </c>
      <c r="AU15">
        <v>1982</v>
      </c>
      <c r="AV15">
        <v>150</v>
      </c>
      <c r="AW15">
        <v>968629</v>
      </c>
      <c r="AX15">
        <v>56290700</v>
      </c>
      <c r="AY15">
        <v>8.4</v>
      </c>
      <c r="BB15">
        <f t="shared" si="0"/>
        <v>1744.5000000000002</v>
      </c>
    </row>
    <row r="16" spans="1:54" ht="15" thickBot="1" x14ac:dyDescent="0.4">
      <c r="A16">
        <v>1960</v>
      </c>
      <c r="B16" s="29">
        <v>572313</v>
      </c>
      <c r="I16" s="99" t="s">
        <v>29</v>
      </c>
      <c r="J16" s="99"/>
      <c r="K16" s="99"/>
      <c r="O16" t="s">
        <v>27</v>
      </c>
      <c r="P16" t="s">
        <v>28</v>
      </c>
      <c r="Q16">
        <v>1895</v>
      </c>
      <c r="R16">
        <v>8.01</v>
      </c>
      <c r="W16">
        <v>1884</v>
      </c>
      <c r="X16">
        <v>35724200</v>
      </c>
      <c r="Z16" s="55" t="s">
        <v>52</v>
      </c>
      <c r="AA16" s="56">
        <v>538278</v>
      </c>
      <c r="AJ16" s="35">
        <v>1984</v>
      </c>
      <c r="AK16" s="37">
        <v>142</v>
      </c>
      <c r="AL16" s="56">
        <v>1031385</v>
      </c>
      <c r="AM16">
        <v>56409300</v>
      </c>
      <c r="AN16">
        <v>8.44</v>
      </c>
      <c r="AU16">
        <v>1983</v>
      </c>
      <c r="AV16">
        <v>145</v>
      </c>
      <c r="AW16">
        <v>1008981</v>
      </c>
      <c r="AX16">
        <v>56315700</v>
      </c>
      <c r="AY16">
        <v>8.42</v>
      </c>
      <c r="BB16">
        <f t="shared" si="0"/>
        <v>1686.3500000000001</v>
      </c>
    </row>
    <row r="17" spans="1:54" ht="15" thickBot="1" x14ac:dyDescent="0.4">
      <c r="A17">
        <v>1961</v>
      </c>
      <c r="B17" s="29">
        <v>587589</v>
      </c>
      <c r="I17" s="99"/>
      <c r="J17" s="99"/>
      <c r="K17" s="99"/>
      <c r="O17" t="s">
        <v>27</v>
      </c>
      <c r="P17" t="s">
        <v>28</v>
      </c>
      <c r="Q17">
        <v>1896</v>
      </c>
      <c r="R17">
        <v>8.0299999999999994</v>
      </c>
      <c r="W17">
        <v>1885</v>
      </c>
      <c r="X17">
        <v>36015500</v>
      </c>
      <c r="Z17" s="55" t="s">
        <v>53</v>
      </c>
      <c r="AA17" s="56">
        <v>572313</v>
      </c>
      <c r="AJ17" s="35">
        <v>1985</v>
      </c>
      <c r="AK17" s="37">
        <v>139</v>
      </c>
      <c r="AL17" s="56">
        <v>1073547</v>
      </c>
      <c r="AM17">
        <v>56554000</v>
      </c>
      <c r="AN17">
        <v>8.4600000000000009</v>
      </c>
      <c r="AU17">
        <v>1984</v>
      </c>
      <c r="AV17">
        <v>142</v>
      </c>
      <c r="AW17">
        <v>1031385</v>
      </c>
      <c r="AX17">
        <v>56409300</v>
      </c>
      <c r="AY17">
        <v>8.44</v>
      </c>
      <c r="BB17">
        <f t="shared" si="0"/>
        <v>1651.46</v>
      </c>
    </row>
    <row r="18" spans="1:54" ht="15" thickBot="1" x14ac:dyDescent="0.4">
      <c r="A18">
        <v>1962</v>
      </c>
      <c r="B18" s="29">
        <v>593887</v>
      </c>
      <c r="O18" t="s">
        <v>27</v>
      </c>
      <c r="P18" t="s">
        <v>28</v>
      </c>
      <c r="Q18">
        <v>1897</v>
      </c>
      <c r="R18">
        <v>8.06</v>
      </c>
      <c r="W18">
        <v>1886</v>
      </c>
      <c r="X18">
        <v>36313600</v>
      </c>
      <c r="Z18" s="55" t="s">
        <v>54</v>
      </c>
      <c r="AA18" s="56">
        <v>587589</v>
      </c>
      <c r="AJ18" s="35">
        <v>1986</v>
      </c>
      <c r="AK18" s="37">
        <v>136</v>
      </c>
      <c r="AL18" s="56">
        <v>1106912</v>
      </c>
      <c r="AM18">
        <v>56683800</v>
      </c>
      <c r="AN18">
        <v>8.49</v>
      </c>
      <c r="AU18">
        <v>1985</v>
      </c>
      <c r="AV18">
        <v>139</v>
      </c>
      <c r="AW18">
        <v>1073547</v>
      </c>
      <c r="AX18">
        <v>56554000</v>
      </c>
      <c r="AY18">
        <v>8.4600000000000009</v>
      </c>
      <c r="BB18">
        <f t="shared" si="0"/>
        <v>1616.5700000000002</v>
      </c>
    </row>
    <row r="19" spans="1:54" ht="15" thickBot="1" x14ac:dyDescent="0.4">
      <c r="A19">
        <v>1963</v>
      </c>
      <c r="B19" s="29">
        <v>622566</v>
      </c>
      <c r="O19" t="s">
        <v>27</v>
      </c>
      <c r="P19" t="s">
        <v>28</v>
      </c>
      <c r="Q19">
        <v>1898</v>
      </c>
      <c r="R19">
        <v>8.08</v>
      </c>
      <c r="W19">
        <v>1887</v>
      </c>
      <c r="X19">
        <v>36599100</v>
      </c>
      <c r="Z19" s="55" t="s">
        <v>55</v>
      </c>
      <c r="AA19" s="56">
        <v>593887</v>
      </c>
      <c r="AJ19" s="35">
        <v>1987</v>
      </c>
      <c r="AK19" s="37">
        <v>135</v>
      </c>
      <c r="AL19" s="56">
        <v>1166905</v>
      </c>
      <c r="AM19">
        <v>56804000</v>
      </c>
      <c r="AN19">
        <v>8.52</v>
      </c>
      <c r="AU19">
        <v>1986</v>
      </c>
      <c r="AV19">
        <v>136</v>
      </c>
      <c r="AW19">
        <v>1106912</v>
      </c>
      <c r="AX19">
        <v>56683800</v>
      </c>
      <c r="AY19">
        <v>8.49</v>
      </c>
      <c r="BB19">
        <f t="shared" si="0"/>
        <v>1581.68</v>
      </c>
    </row>
    <row r="20" spans="1:54" ht="15" thickBot="1" x14ac:dyDescent="0.4">
      <c r="A20">
        <v>1964</v>
      </c>
      <c r="B20" s="29">
        <v>658062</v>
      </c>
      <c r="O20" t="s">
        <v>27</v>
      </c>
      <c r="P20" t="s">
        <v>28</v>
      </c>
      <c r="Q20">
        <v>1899</v>
      </c>
      <c r="R20">
        <v>8.1</v>
      </c>
      <c r="W20">
        <v>1888</v>
      </c>
      <c r="X20">
        <v>36881300</v>
      </c>
      <c r="Z20" s="55" t="s">
        <v>56</v>
      </c>
      <c r="AA20" s="56">
        <v>622566</v>
      </c>
      <c r="AJ20" s="35">
        <v>1988</v>
      </c>
      <c r="AK20" s="37">
        <v>132</v>
      </c>
      <c r="AL20" s="56">
        <v>1229650</v>
      </c>
      <c r="AM20">
        <v>56916400</v>
      </c>
      <c r="AN20">
        <v>8.57</v>
      </c>
      <c r="AU20">
        <v>1987</v>
      </c>
      <c r="AV20">
        <v>135</v>
      </c>
      <c r="AW20">
        <v>1166905</v>
      </c>
      <c r="AX20">
        <v>56804000</v>
      </c>
      <c r="AY20">
        <v>8.52</v>
      </c>
      <c r="BB20">
        <f t="shared" si="0"/>
        <v>1570.0500000000002</v>
      </c>
    </row>
    <row r="21" spans="1:54" ht="15" thickBot="1" x14ac:dyDescent="0.4">
      <c r="A21">
        <v>1965</v>
      </c>
      <c r="B21" s="29">
        <v>671975</v>
      </c>
      <c r="O21" t="s">
        <v>27</v>
      </c>
      <c r="P21" t="s">
        <v>28</v>
      </c>
      <c r="Q21">
        <v>1900</v>
      </c>
      <c r="R21">
        <v>8.11</v>
      </c>
      <c r="W21">
        <v>1889</v>
      </c>
      <c r="X21">
        <v>37178900</v>
      </c>
      <c r="Z21" s="55" t="s">
        <v>57</v>
      </c>
      <c r="AA21" s="56">
        <v>658062</v>
      </c>
      <c r="AJ21" s="35">
        <v>1989</v>
      </c>
      <c r="AK21" s="37">
        <v>130</v>
      </c>
      <c r="AL21" s="56">
        <v>1259191</v>
      </c>
      <c r="AM21">
        <v>57076500</v>
      </c>
      <c r="AN21">
        <v>8.6199999999999992</v>
      </c>
      <c r="AU21">
        <v>1988</v>
      </c>
      <c r="AV21">
        <v>132</v>
      </c>
      <c r="AW21">
        <v>1229650</v>
      </c>
      <c r="AX21">
        <v>56916400</v>
      </c>
      <c r="AY21">
        <v>8.57</v>
      </c>
      <c r="BB21">
        <f t="shared" si="0"/>
        <v>1535.16</v>
      </c>
    </row>
    <row r="22" spans="1:54" ht="15" thickBot="1" x14ac:dyDescent="0.4">
      <c r="A22">
        <v>1966</v>
      </c>
      <c r="B22" s="29">
        <v>682419</v>
      </c>
      <c r="O22" t="s">
        <v>27</v>
      </c>
      <c r="P22" t="s">
        <v>28</v>
      </c>
      <c r="Q22">
        <v>1901</v>
      </c>
      <c r="R22">
        <v>8.1300000000000008</v>
      </c>
      <c r="W22">
        <v>1890</v>
      </c>
      <c r="X22">
        <v>37484800</v>
      </c>
      <c r="Z22" s="55" t="s">
        <v>58</v>
      </c>
      <c r="AA22" s="56">
        <v>671975</v>
      </c>
      <c r="AJ22" s="35">
        <v>1990</v>
      </c>
      <c r="AK22" s="37">
        <v>130</v>
      </c>
      <c r="AL22" s="56">
        <v>1266248</v>
      </c>
      <c r="AM22">
        <v>57237500</v>
      </c>
      <c r="AN22">
        <v>8.66</v>
      </c>
      <c r="AU22">
        <v>1989</v>
      </c>
      <c r="AV22">
        <v>130</v>
      </c>
      <c r="AW22">
        <v>1259191</v>
      </c>
      <c r="AX22">
        <v>57076500</v>
      </c>
      <c r="AY22">
        <v>8.6199999999999992</v>
      </c>
      <c r="BB22">
        <f t="shared" si="0"/>
        <v>1511.9</v>
      </c>
    </row>
    <row r="23" spans="1:54" ht="15" thickBot="1" x14ac:dyDescent="0.4">
      <c r="A23">
        <v>1967</v>
      </c>
      <c r="B23" s="29">
        <v>701215</v>
      </c>
      <c r="O23" t="s">
        <v>27</v>
      </c>
      <c r="P23" t="s">
        <v>28</v>
      </c>
      <c r="Q23">
        <v>1902</v>
      </c>
      <c r="R23">
        <v>8.1300000000000008</v>
      </c>
      <c r="W23">
        <v>1891</v>
      </c>
      <c r="X23">
        <v>37802400</v>
      </c>
      <c r="Z23" s="55" t="s">
        <v>59</v>
      </c>
      <c r="AA23" s="56">
        <v>682419</v>
      </c>
      <c r="AJ23" s="35">
        <v>1991</v>
      </c>
      <c r="AK23" s="37">
        <v>128</v>
      </c>
      <c r="AL23" s="56">
        <v>1248461</v>
      </c>
      <c r="AM23">
        <v>57438700</v>
      </c>
      <c r="AN23">
        <v>8.6999999999999993</v>
      </c>
      <c r="AU23">
        <v>1990</v>
      </c>
      <c r="AV23">
        <v>130</v>
      </c>
      <c r="AW23">
        <v>1266248</v>
      </c>
      <c r="AX23">
        <v>57237500</v>
      </c>
      <c r="AY23">
        <v>8.66</v>
      </c>
      <c r="BB23">
        <f t="shared" si="0"/>
        <v>1511.9</v>
      </c>
    </row>
    <row r="24" spans="1:54" ht="15" thickBot="1" x14ac:dyDescent="0.4">
      <c r="A24">
        <v>1968</v>
      </c>
      <c r="B24" s="29">
        <v>739468</v>
      </c>
      <c r="O24" t="s">
        <v>27</v>
      </c>
      <c r="P24" t="s">
        <v>28</v>
      </c>
      <c r="Q24">
        <v>1903</v>
      </c>
      <c r="R24">
        <v>8.14</v>
      </c>
      <c r="W24">
        <v>1892</v>
      </c>
      <c r="X24">
        <v>38134100</v>
      </c>
      <c r="Z24" s="55" t="s">
        <v>60</v>
      </c>
      <c r="AA24" s="56">
        <v>701215</v>
      </c>
      <c r="AJ24" s="35">
        <v>1992</v>
      </c>
      <c r="AK24" s="37">
        <v>126.5</v>
      </c>
      <c r="AL24" s="56">
        <v>1251525</v>
      </c>
      <c r="AM24">
        <v>57584500</v>
      </c>
      <c r="AN24">
        <v>8.75</v>
      </c>
      <c r="AU24">
        <v>1991</v>
      </c>
      <c r="AV24">
        <v>128</v>
      </c>
      <c r="AW24">
        <v>1248461</v>
      </c>
      <c r="AX24">
        <v>57438700</v>
      </c>
      <c r="AY24">
        <v>8.6999999999999993</v>
      </c>
      <c r="BB24">
        <f t="shared" si="0"/>
        <v>1488.64</v>
      </c>
    </row>
    <row r="25" spans="1:54" ht="15" thickBot="1" x14ac:dyDescent="0.4">
      <c r="A25">
        <v>1969</v>
      </c>
      <c r="B25" s="29">
        <v>753606</v>
      </c>
      <c r="O25" t="s">
        <v>27</v>
      </c>
      <c r="P25" t="s">
        <v>28</v>
      </c>
      <c r="Q25">
        <v>1904</v>
      </c>
      <c r="R25">
        <v>8.15</v>
      </c>
      <c r="W25">
        <v>1893</v>
      </c>
      <c r="X25">
        <v>38490300</v>
      </c>
      <c r="Z25" s="55" t="s">
        <v>61</v>
      </c>
      <c r="AA25" s="56">
        <v>739468</v>
      </c>
      <c r="AJ25" s="35">
        <v>1993</v>
      </c>
      <c r="AK25" s="37">
        <v>125</v>
      </c>
      <c r="AL25" s="56">
        <v>1279802</v>
      </c>
      <c r="AM25">
        <v>57713900</v>
      </c>
      <c r="AN25">
        <v>8.8000000000000007</v>
      </c>
      <c r="AU25">
        <v>1992</v>
      </c>
      <c r="AV25">
        <v>126.5</v>
      </c>
      <c r="AW25">
        <v>1251525</v>
      </c>
      <c r="AX25">
        <v>57584500</v>
      </c>
      <c r="AY25">
        <v>8.75</v>
      </c>
      <c r="BB25">
        <f t="shared" si="0"/>
        <v>1471.1950000000002</v>
      </c>
    </row>
    <row r="26" spans="1:54" ht="15" thickBot="1" x14ac:dyDescent="0.4">
      <c r="A26" s="32" t="s">
        <v>30</v>
      </c>
      <c r="B26" s="33" t="s">
        <v>2</v>
      </c>
      <c r="C26" s="32" t="s">
        <v>31</v>
      </c>
      <c r="Z26" s="55" t="s">
        <v>62</v>
      </c>
      <c r="AA26" s="56">
        <v>753606</v>
      </c>
      <c r="AD26" t="s">
        <v>118</v>
      </c>
      <c r="AJ26" s="35">
        <v>1994</v>
      </c>
      <c r="AK26" s="37">
        <v>124.8</v>
      </c>
      <c r="AL26" s="56">
        <v>1323443</v>
      </c>
      <c r="AM26">
        <v>57862100</v>
      </c>
      <c r="AN26">
        <v>8.85</v>
      </c>
      <c r="AU26">
        <v>1993</v>
      </c>
      <c r="AV26">
        <v>125</v>
      </c>
      <c r="AW26">
        <v>1279802</v>
      </c>
      <c r="AX26">
        <v>57713900</v>
      </c>
      <c r="AY26">
        <v>8.8000000000000007</v>
      </c>
      <c r="BB26">
        <f t="shared" si="0"/>
        <v>1453.75</v>
      </c>
    </row>
    <row r="27" spans="1:54" ht="15" thickBot="1" x14ac:dyDescent="0.4">
      <c r="A27" s="1">
        <v>1970</v>
      </c>
      <c r="B27" s="30">
        <v>773977</v>
      </c>
      <c r="C27" s="31">
        <v>614383</v>
      </c>
      <c r="O27" t="s">
        <v>27</v>
      </c>
      <c r="P27" t="s">
        <v>28</v>
      </c>
      <c r="Q27">
        <v>1905</v>
      </c>
      <c r="R27">
        <v>8.15</v>
      </c>
      <c r="W27">
        <v>1894</v>
      </c>
      <c r="X27">
        <v>38859100</v>
      </c>
      <c r="Z27" s="55" t="s">
        <v>63</v>
      </c>
      <c r="AA27" s="56">
        <v>773977</v>
      </c>
      <c r="AC27" s="35">
        <v>1970</v>
      </c>
      <c r="AD27" s="35">
        <v>239.6</v>
      </c>
      <c r="AE27" s="37">
        <v>1970</v>
      </c>
      <c r="AF27" s="37">
        <v>175</v>
      </c>
      <c r="AJ27" s="35">
        <v>1995</v>
      </c>
      <c r="AK27" s="37">
        <v>123.5</v>
      </c>
      <c r="AL27" s="56">
        <v>1355023</v>
      </c>
      <c r="AM27">
        <v>58024800</v>
      </c>
      <c r="AN27">
        <v>8.9</v>
      </c>
      <c r="AU27">
        <v>1994</v>
      </c>
      <c r="AV27">
        <v>124.8</v>
      </c>
      <c r="AW27">
        <v>1323443</v>
      </c>
      <c r="AX27">
        <v>57862100</v>
      </c>
      <c r="AY27">
        <v>8.85</v>
      </c>
      <c r="BB27">
        <f t="shared" si="0"/>
        <v>1451.424</v>
      </c>
    </row>
    <row r="28" spans="1:54" ht="15" thickBot="1" x14ac:dyDescent="0.4">
      <c r="A28" s="1">
        <v>1971</v>
      </c>
      <c r="B28" s="30">
        <v>801969</v>
      </c>
      <c r="C28" s="31">
        <v>606128</v>
      </c>
      <c r="O28" t="s">
        <v>27</v>
      </c>
      <c r="P28" t="s">
        <v>28</v>
      </c>
      <c r="Q28">
        <v>1906</v>
      </c>
      <c r="R28">
        <v>8.15</v>
      </c>
      <c r="W28">
        <v>1895</v>
      </c>
      <c r="X28">
        <v>39221100</v>
      </c>
      <c r="Z28" s="55" t="s">
        <v>64</v>
      </c>
      <c r="AA28" s="56">
        <v>801969</v>
      </c>
      <c r="AC28" s="35">
        <v>1971</v>
      </c>
      <c r="AD28" s="35">
        <v>241.1</v>
      </c>
      <c r="AE28" s="37">
        <v>1971</v>
      </c>
      <c r="AF28" s="37">
        <v>170</v>
      </c>
      <c r="AJ28" s="35">
        <v>1996</v>
      </c>
      <c r="AK28" s="37">
        <v>125</v>
      </c>
      <c r="AL28" s="56">
        <v>1390010</v>
      </c>
      <c r="AM28">
        <v>58164400</v>
      </c>
      <c r="AN28">
        <v>8.94</v>
      </c>
      <c r="AU28">
        <v>1995</v>
      </c>
      <c r="AV28">
        <v>123.5</v>
      </c>
      <c r="AW28">
        <v>1355023</v>
      </c>
      <c r="AX28">
        <v>58024800</v>
      </c>
      <c r="AY28">
        <v>8.9</v>
      </c>
      <c r="BB28">
        <f t="shared" si="0"/>
        <v>1436.3050000000001</v>
      </c>
    </row>
    <row r="29" spans="1:54" ht="15" thickBot="1" x14ac:dyDescent="0.4">
      <c r="A29" s="1">
        <v>1972</v>
      </c>
      <c r="B29" s="30">
        <v>836938</v>
      </c>
      <c r="C29" s="31">
        <v>617854</v>
      </c>
      <c r="O29" t="s">
        <v>27</v>
      </c>
      <c r="P29" t="s">
        <v>28</v>
      </c>
      <c r="Q29">
        <v>1907</v>
      </c>
      <c r="R29">
        <v>8.16</v>
      </c>
      <c r="W29">
        <v>1896</v>
      </c>
      <c r="X29">
        <v>39599100</v>
      </c>
      <c r="Z29" s="55" t="s">
        <v>65</v>
      </c>
      <c r="AA29" s="56">
        <v>836938</v>
      </c>
      <c r="AC29" s="35">
        <v>1972</v>
      </c>
      <c r="AD29" s="35">
        <v>250</v>
      </c>
      <c r="AE29" s="37">
        <v>1972</v>
      </c>
      <c r="AF29" s="37">
        <v>165</v>
      </c>
      <c r="AJ29" s="35">
        <v>1997</v>
      </c>
      <c r="AK29" s="37">
        <v>127</v>
      </c>
      <c r="AL29" s="56">
        <v>1458467</v>
      </c>
      <c r="AM29">
        <v>58314200</v>
      </c>
      <c r="AN29">
        <v>8.98</v>
      </c>
      <c r="AU29">
        <v>1996</v>
      </c>
      <c r="AV29">
        <v>125</v>
      </c>
      <c r="AW29">
        <v>1390010</v>
      </c>
      <c r="AX29">
        <v>58164400</v>
      </c>
      <c r="AY29">
        <v>8.94</v>
      </c>
      <c r="BB29">
        <f t="shared" si="0"/>
        <v>1453.75</v>
      </c>
    </row>
    <row r="30" spans="1:54" ht="15" thickBot="1" x14ac:dyDescent="0.4">
      <c r="A30" s="1">
        <v>1973</v>
      </c>
      <c r="B30" s="30">
        <v>891381</v>
      </c>
      <c r="C30" s="31">
        <v>649594</v>
      </c>
      <c r="O30" t="s">
        <v>27</v>
      </c>
      <c r="P30" t="s">
        <v>28</v>
      </c>
      <c r="Q30">
        <v>1908</v>
      </c>
      <c r="R30">
        <v>8.15</v>
      </c>
      <c r="W30">
        <v>1897</v>
      </c>
      <c r="X30">
        <v>39987300</v>
      </c>
      <c r="Z30" s="55" t="s">
        <v>66</v>
      </c>
      <c r="AA30" s="56">
        <v>891381</v>
      </c>
      <c r="AC30" s="35">
        <v>1973</v>
      </c>
      <c r="AD30" s="35">
        <v>260.10000000000002</v>
      </c>
      <c r="AE30" s="37">
        <v>1973</v>
      </c>
      <c r="AF30" s="37">
        <v>162</v>
      </c>
      <c r="AJ30" s="35">
        <v>1998</v>
      </c>
      <c r="AK30" s="37">
        <v>130</v>
      </c>
      <c r="AL30" s="56">
        <v>1508263</v>
      </c>
      <c r="AM30">
        <v>58474900</v>
      </c>
      <c r="AN30">
        <v>9.02</v>
      </c>
      <c r="AU30">
        <v>1997</v>
      </c>
      <c r="AV30">
        <v>127</v>
      </c>
      <c r="AW30">
        <v>1458467</v>
      </c>
      <c r="AX30">
        <v>58314200</v>
      </c>
      <c r="AY30">
        <v>8.98</v>
      </c>
      <c r="BB30">
        <f t="shared" si="0"/>
        <v>1477.01</v>
      </c>
    </row>
    <row r="31" spans="1:54" ht="15" thickBot="1" x14ac:dyDescent="0.4">
      <c r="A31" s="1">
        <v>1974</v>
      </c>
      <c r="B31" s="30">
        <v>869155</v>
      </c>
      <c r="C31" s="31">
        <v>621351</v>
      </c>
      <c r="O31" t="s">
        <v>27</v>
      </c>
      <c r="P31" t="s">
        <v>28</v>
      </c>
      <c r="Q31">
        <v>1909</v>
      </c>
      <c r="R31">
        <v>8.15</v>
      </c>
      <c r="W31">
        <v>1898</v>
      </c>
      <c r="X31">
        <v>40380800</v>
      </c>
      <c r="Z31" s="55" t="s">
        <v>67</v>
      </c>
      <c r="AA31" s="56">
        <v>869155</v>
      </c>
      <c r="AC31" s="35">
        <v>1974</v>
      </c>
      <c r="AD31" s="35">
        <v>255</v>
      </c>
      <c r="AE31" s="37">
        <v>1974</v>
      </c>
      <c r="AF31" s="37">
        <v>158</v>
      </c>
      <c r="AJ31" s="35">
        <v>1999</v>
      </c>
      <c r="AK31" s="37">
        <v>132</v>
      </c>
      <c r="AL31" s="56">
        <v>1554509</v>
      </c>
      <c r="AM31">
        <v>58684400</v>
      </c>
      <c r="AN31">
        <v>9.0500000000000007</v>
      </c>
      <c r="AU31">
        <v>1998</v>
      </c>
      <c r="AV31">
        <v>130</v>
      </c>
      <c r="AW31">
        <v>1508263</v>
      </c>
      <c r="AX31">
        <v>58474900</v>
      </c>
      <c r="AY31">
        <v>9.02</v>
      </c>
      <c r="BB31">
        <f t="shared" si="0"/>
        <v>1511.9</v>
      </c>
    </row>
    <row r="32" spans="1:54" ht="15" thickBot="1" x14ac:dyDescent="0.4">
      <c r="A32" s="1">
        <v>1975</v>
      </c>
      <c r="B32" s="30">
        <v>856049</v>
      </c>
      <c r="C32" s="31">
        <v>596636</v>
      </c>
      <c r="O32" t="s">
        <v>27</v>
      </c>
      <c r="P32" t="s">
        <v>28</v>
      </c>
      <c r="Q32">
        <v>1910</v>
      </c>
      <c r="R32">
        <v>8.16</v>
      </c>
      <c r="W32">
        <v>1899</v>
      </c>
      <c r="X32">
        <v>40774300</v>
      </c>
      <c r="Z32" s="55" t="s">
        <v>68</v>
      </c>
      <c r="AA32" s="56">
        <v>856049</v>
      </c>
      <c r="AC32" s="35">
        <v>1975</v>
      </c>
      <c r="AD32" s="35">
        <v>242.5</v>
      </c>
      <c r="AE32" s="37">
        <v>1975</v>
      </c>
      <c r="AF32" s="37">
        <v>150</v>
      </c>
      <c r="AJ32" s="35">
        <v>2000</v>
      </c>
      <c r="AK32" s="37">
        <v>152</v>
      </c>
      <c r="AL32" s="56">
        <v>1621644</v>
      </c>
      <c r="AM32">
        <v>58886100</v>
      </c>
      <c r="AN32">
        <v>9.09</v>
      </c>
      <c r="AU32">
        <v>1999</v>
      </c>
      <c r="AV32">
        <v>132</v>
      </c>
      <c r="AW32">
        <v>1554509</v>
      </c>
      <c r="AX32">
        <v>58684400</v>
      </c>
      <c r="AY32">
        <v>9.0500000000000007</v>
      </c>
      <c r="BB32">
        <f t="shared" si="0"/>
        <v>1535.16</v>
      </c>
    </row>
    <row r="33" spans="1:54" ht="15" thickBot="1" x14ac:dyDescent="0.4">
      <c r="A33" s="1">
        <v>1976</v>
      </c>
      <c r="B33" s="30">
        <v>881878</v>
      </c>
      <c r="C33" s="31">
        <v>612282</v>
      </c>
      <c r="O33" t="s">
        <v>27</v>
      </c>
      <c r="P33" t="s">
        <v>28</v>
      </c>
      <c r="Q33">
        <v>1911</v>
      </c>
      <c r="R33">
        <v>8.16</v>
      </c>
      <c r="W33">
        <v>1900</v>
      </c>
      <c r="X33">
        <v>41154600</v>
      </c>
      <c r="Z33" s="55" t="s">
        <v>69</v>
      </c>
      <c r="AA33" s="56">
        <v>881878</v>
      </c>
      <c r="AC33" s="35">
        <v>1976</v>
      </c>
      <c r="AD33" s="35">
        <v>246</v>
      </c>
      <c r="AE33" s="37">
        <v>1976</v>
      </c>
      <c r="AF33" s="37">
        <v>148</v>
      </c>
      <c r="AJ33" s="35">
        <v>2001</v>
      </c>
      <c r="AK33" s="37">
        <v>155</v>
      </c>
      <c r="AL33" s="56">
        <v>1663462</v>
      </c>
      <c r="AM33">
        <v>59113000</v>
      </c>
      <c r="AN33">
        <v>9.1199999999999992</v>
      </c>
      <c r="AU33">
        <v>2000</v>
      </c>
      <c r="AV33">
        <v>152</v>
      </c>
      <c r="AW33">
        <v>1621644</v>
      </c>
      <c r="AX33">
        <v>58886100</v>
      </c>
      <c r="AY33">
        <v>9.09</v>
      </c>
      <c r="BB33">
        <f t="shared" si="0"/>
        <v>1767.7600000000002</v>
      </c>
    </row>
    <row r="34" spans="1:54" ht="15" thickBot="1" x14ac:dyDescent="0.4">
      <c r="A34" s="1">
        <v>1977</v>
      </c>
      <c r="B34" s="30">
        <v>903587</v>
      </c>
      <c r="C34" s="31">
        <v>625117</v>
      </c>
      <c r="O34" t="s">
        <v>27</v>
      </c>
      <c r="P34" t="s">
        <v>28</v>
      </c>
      <c r="Q34">
        <v>1912</v>
      </c>
      <c r="R34">
        <v>8.16</v>
      </c>
      <c r="W34">
        <v>1901</v>
      </c>
      <c r="X34">
        <v>41538200</v>
      </c>
      <c r="Z34" s="55" t="s">
        <v>70</v>
      </c>
      <c r="AA34" s="56">
        <v>903587</v>
      </c>
      <c r="AC34" s="35">
        <v>1977</v>
      </c>
      <c r="AD34" s="35">
        <v>250.4</v>
      </c>
      <c r="AE34" s="37">
        <v>1977</v>
      </c>
      <c r="AF34" s="37">
        <v>145</v>
      </c>
      <c r="AJ34" s="35">
        <v>2002</v>
      </c>
      <c r="AK34" s="37">
        <v>153.19999999999999</v>
      </c>
      <c r="AL34" s="56">
        <v>1693271</v>
      </c>
      <c r="AM34">
        <v>59365700</v>
      </c>
      <c r="AN34">
        <v>9.14</v>
      </c>
      <c r="AU34">
        <v>2001</v>
      </c>
      <c r="AV34">
        <v>155</v>
      </c>
      <c r="AW34">
        <v>1663462</v>
      </c>
      <c r="AX34">
        <v>59113000</v>
      </c>
      <c r="AY34">
        <v>9.1199999999999992</v>
      </c>
      <c r="BB34">
        <f t="shared" si="0"/>
        <v>1802.65</v>
      </c>
    </row>
    <row r="35" spans="1:54" ht="15" thickBot="1" x14ac:dyDescent="0.4">
      <c r="A35" s="1">
        <v>1978</v>
      </c>
      <c r="B35" s="30">
        <v>941461</v>
      </c>
      <c r="C35" s="31">
        <v>633262</v>
      </c>
      <c r="O35" t="s">
        <v>27</v>
      </c>
      <c r="P35" t="s">
        <v>28</v>
      </c>
      <c r="Q35">
        <v>1913</v>
      </c>
      <c r="R35">
        <v>8.16</v>
      </c>
      <c r="W35">
        <v>1902</v>
      </c>
      <c r="X35">
        <v>41892700</v>
      </c>
      <c r="Z35" s="55" t="s">
        <v>71</v>
      </c>
      <c r="AA35" s="56">
        <v>941461</v>
      </c>
      <c r="AC35" s="35">
        <v>1978</v>
      </c>
      <c r="AD35" s="35">
        <v>253</v>
      </c>
      <c r="AE35" s="37">
        <v>1978</v>
      </c>
      <c r="AF35" s="37">
        <v>143</v>
      </c>
      <c r="AJ35" s="35">
        <v>2003</v>
      </c>
      <c r="AK35" s="37">
        <v>154.5</v>
      </c>
      <c r="AL35" s="56">
        <v>1746551</v>
      </c>
      <c r="AM35">
        <v>59636700</v>
      </c>
      <c r="AN35">
        <v>9.16</v>
      </c>
      <c r="AU35">
        <v>2002</v>
      </c>
      <c r="AV35">
        <v>153.19999999999999</v>
      </c>
      <c r="AW35">
        <v>1693271</v>
      </c>
      <c r="AX35">
        <v>59365700</v>
      </c>
      <c r="AY35">
        <v>9.14</v>
      </c>
      <c r="BB35">
        <f t="shared" si="0"/>
        <v>1781.7159999999999</v>
      </c>
    </row>
    <row r="36" spans="1:54" ht="15" thickBot="1" x14ac:dyDescent="0.4">
      <c r="A36" s="1">
        <v>1979</v>
      </c>
      <c r="B36" s="30">
        <v>976566</v>
      </c>
      <c r="C36" s="31">
        <v>659401</v>
      </c>
      <c r="O36" t="s">
        <v>27</v>
      </c>
      <c r="P36" t="s">
        <v>28</v>
      </c>
      <c r="Q36">
        <v>1914</v>
      </c>
      <c r="R36">
        <v>8.16</v>
      </c>
      <c r="W36">
        <v>1903</v>
      </c>
      <c r="X36">
        <v>42246600</v>
      </c>
      <c r="Z36" s="55" t="s">
        <v>72</v>
      </c>
      <c r="AA36" s="56">
        <v>976566</v>
      </c>
      <c r="AC36" s="35">
        <v>1979</v>
      </c>
      <c r="AD36" s="35">
        <v>257.8</v>
      </c>
      <c r="AE36" s="37">
        <v>1979</v>
      </c>
      <c r="AF36" s="37">
        <v>140</v>
      </c>
      <c r="AJ36" s="35">
        <v>2004</v>
      </c>
      <c r="AK36" s="37">
        <v>154.80000000000001</v>
      </c>
      <c r="AL36" s="56">
        <v>1788931</v>
      </c>
      <c r="AM36">
        <v>59950400</v>
      </c>
      <c r="AN36">
        <v>9.17</v>
      </c>
      <c r="AU36">
        <v>2003</v>
      </c>
      <c r="AV36">
        <v>154.5</v>
      </c>
      <c r="AW36">
        <v>1746551</v>
      </c>
      <c r="AX36">
        <v>59636700</v>
      </c>
      <c r="AY36">
        <v>9.16</v>
      </c>
      <c r="BB36">
        <f t="shared" si="0"/>
        <v>1796.835</v>
      </c>
    </row>
    <row r="37" spans="1:54" ht="15" thickBot="1" x14ac:dyDescent="0.4">
      <c r="A37" s="1">
        <v>1980</v>
      </c>
      <c r="B37" s="30">
        <v>956533</v>
      </c>
      <c r="C37" s="31">
        <v>607220</v>
      </c>
      <c r="O37" t="s">
        <v>27</v>
      </c>
      <c r="P37" t="s">
        <v>28</v>
      </c>
      <c r="Q37">
        <v>1915</v>
      </c>
      <c r="R37">
        <v>8.16</v>
      </c>
      <c r="W37">
        <v>1904</v>
      </c>
      <c r="X37">
        <v>42611400</v>
      </c>
      <c r="Z37" s="55" t="s">
        <v>73</v>
      </c>
      <c r="AA37" s="56">
        <v>956533</v>
      </c>
      <c r="AC37" s="35">
        <v>1980</v>
      </c>
      <c r="AD37" s="35">
        <v>249.1</v>
      </c>
      <c r="AE37" s="37">
        <v>1980</v>
      </c>
      <c r="AF37" s="37">
        <v>138</v>
      </c>
      <c r="AJ37" s="35">
        <v>2005</v>
      </c>
      <c r="AK37" s="37">
        <v>154</v>
      </c>
      <c r="AL37" s="56">
        <v>1837927</v>
      </c>
      <c r="AM37">
        <v>60413300</v>
      </c>
      <c r="AN37">
        <v>9.19</v>
      </c>
      <c r="AU37">
        <v>2004</v>
      </c>
      <c r="AV37">
        <v>154.80000000000001</v>
      </c>
      <c r="AW37">
        <v>1788931</v>
      </c>
      <c r="AX37">
        <v>59950400</v>
      </c>
      <c r="AY37">
        <v>9.17</v>
      </c>
      <c r="BB37">
        <f t="shared" si="0"/>
        <v>1800.3240000000003</v>
      </c>
    </row>
    <row r="38" spans="1:54" ht="15" thickBot="1" x14ac:dyDescent="0.4">
      <c r="A38" s="1">
        <v>1981</v>
      </c>
      <c r="B38" s="30">
        <v>949961</v>
      </c>
      <c r="C38" s="31">
        <v>590277</v>
      </c>
      <c r="O38" t="s">
        <v>27</v>
      </c>
      <c r="P38" t="s">
        <v>28</v>
      </c>
      <c r="Q38">
        <v>1916</v>
      </c>
      <c r="R38">
        <v>8.16</v>
      </c>
      <c r="W38">
        <v>1905</v>
      </c>
      <c r="X38">
        <v>42980800</v>
      </c>
      <c r="Z38" s="55" t="s">
        <v>74</v>
      </c>
      <c r="AA38" s="56">
        <v>949961</v>
      </c>
      <c r="AC38" s="35">
        <v>1981</v>
      </c>
      <c r="AD38" s="35">
        <v>276.10000000000002</v>
      </c>
      <c r="AE38" s="37">
        <v>1981</v>
      </c>
      <c r="AF38" s="37">
        <v>154</v>
      </c>
      <c r="AJ38" s="35">
        <v>2006</v>
      </c>
      <c r="AK38" s="37">
        <v>152.5</v>
      </c>
      <c r="AL38" s="56">
        <v>1881785</v>
      </c>
      <c r="AM38">
        <v>60827100</v>
      </c>
      <c r="AN38">
        <v>9.1999999999999993</v>
      </c>
      <c r="AU38">
        <v>2005</v>
      </c>
      <c r="AV38">
        <v>154</v>
      </c>
      <c r="AW38">
        <v>1837927</v>
      </c>
      <c r="AX38">
        <v>60413300</v>
      </c>
      <c r="AY38">
        <v>9.19</v>
      </c>
      <c r="BB38">
        <f t="shared" si="0"/>
        <v>1791.0200000000002</v>
      </c>
    </row>
    <row r="39" spans="1:54" ht="15" thickBot="1" x14ac:dyDescent="0.4">
      <c r="A39" s="1">
        <v>1982</v>
      </c>
      <c r="B39" s="30">
        <v>968629</v>
      </c>
      <c r="C39" s="31">
        <v>584552</v>
      </c>
      <c r="O39" t="s">
        <v>27</v>
      </c>
      <c r="P39" t="s">
        <v>28</v>
      </c>
      <c r="Q39">
        <v>1917</v>
      </c>
      <c r="R39">
        <v>8.16</v>
      </c>
      <c r="W39">
        <v>1906</v>
      </c>
      <c r="X39">
        <v>43361100</v>
      </c>
      <c r="Z39" s="55" t="s">
        <v>75</v>
      </c>
      <c r="AA39" s="56">
        <v>968629</v>
      </c>
      <c r="AC39" s="35">
        <v>1982</v>
      </c>
      <c r="AD39" s="35">
        <v>271.60000000000002</v>
      </c>
      <c r="AE39" s="37">
        <v>1982</v>
      </c>
      <c r="AF39" s="37">
        <v>150</v>
      </c>
      <c r="AJ39" s="35">
        <v>2007</v>
      </c>
      <c r="AK39" s="37">
        <v>150</v>
      </c>
      <c r="AL39" s="56">
        <v>1931094</v>
      </c>
      <c r="AM39">
        <v>61319100</v>
      </c>
      <c r="AN39">
        <v>9.2100000000000009</v>
      </c>
      <c r="AU39">
        <v>2006</v>
      </c>
      <c r="AV39">
        <v>152.5</v>
      </c>
      <c r="AW39">
        <v>1881785</v>
      </c>
      <c r="AX39">
        <v>60827100</v>
      </c>
      <c r="AY39">
        <v>9.1999999999999993</v>
      </c>
      <c r="BB39">
        <f t="shared" si="0"/>
        <v>1773.575</v>
      </c>
    </row>
    <row r="40" spans="1:54" ht="15" thickBot="1" x14ac:dyDescent="0.4">
      <c r="A40" s="1">
        <v>1983</v>
      </c>
      <c r="B40" s="30">
        <v>960100</v>
      </c>
      <c r="C40" s="31">
        <v>582955</v>
      </c>
      <c r="O40" t="s">
        <v>27</v>
      </c>
      <c r="P40" t="s">
        <v>28</v>
      </c>
      <c r="Q40">
        <v>1918</v>
      </c>
      <c r="R40">
        <v>8.17</v>
      </c>
      <c r="W40">
        <v>1907</v>
      </c>
      <c r="X40">
        <v>43737800</v>
      </c>
      <c r="Z40" s="55" t="s">
        <v>76</v>
      </c>
      <c r="AA40" s="56">
        <v>1008981</v>
      </c>
      <c r="AC40" s="35">
        <v>1983</v>
      </c>
      <c r="AD40" s="35">
        <v>270.10000000000002</v>
      </c>
      <c r="AE40" s="37">
        <v>1983</v>
      </c>
      <c r="AF40" s="37">
        <v>145</v>
      </c>
      <c r="AJ40" s="35">
        <v>2008</v>
      </c>
      <c r="AK40" s="37">
        <v>148.5</v>
      </c>
      <c r="AL40" s="56">
        <v>1926735</v>
      </c>
      <c r="AM40">
        <v>61823800</v>
      </c>
      <c r="AN40">
        <v>9.2200000000000006</v>
      </c>
      <c r="AU40">
        <v>2007</v>
      </c>
      <c r="AV40">
        <v>150</v>
      </c>
      <c r="AW40">
        <v>1931094</v>
      </c>
      <c r="AX40">
        <v>61319100</v>
      </c>
      <c r="AY40">
        <v>9.2100000000000009</v>
      </c>
      <c r="BB40">
        <f t="shared" si="0"/>
        <v>1744.5000000000002</v>
      </c>
    </row>
    <row r="41" spans="1:54" ht="15" thickBot="1" x14ac:dyDescent="0.4">
      <c r="A41" s="1">
        <v>1984</v>
      </c>
      <c r="B41" s="30">
        <v>950100</v>
      </c>
      <c r="C41" s="31">
        <v>582899</v>
      </c>
      <c r="O41" t="s">
        <v>27</v>
      </c>
      <c r="P41" t="s">
        <v>28</v>
      </c>
      <c r="Q41">
        <v>1919</v>
      </c>
      <c r="R41">
        <v>8.17</v>
      </c>
      <c r="W41">
        <v>1908</v>
      </c>
      <c r="X41">
        <v>44123800</v>
      </c>
      <c r="Z41" s="55" t="s">
        <v>77</v>
      </c>
      <c r="AA41" s="56">
        <v>1031385</v>
      </c>
      <c r="AC41" s="35">
        <v>1984</v>
      </c>
      <c r="AD41" s="35">
        <v>271</v>
      </c>
      <c r="AE41" s="37">
        <v>1984</v>
      </c>
      <c r="AF41" s="37">
        <v>142</v>
      </c>
      <c r="AJ41" s="35">
        <v>2009</v>
      </c>
      <c r="AK41" s="37">
        <v>140</v>
      </c>
      <c r="AL41" s="56">
        <v>1837817</v>
      </c>
      <c r="AM41">
        <v>62260500</v>
      </c>
      <c r="AN41">
        <v>9.23</v>
      </c>
      <c r="AU41">
        <v>2008</v>
      </c>
      <c r="AV41">
        <v>148.5</v>
      </c>
      <c r="AW41">
        <v>1926735</v>
      </c>
      <c r="AX41">
        <v>61823800</v>
      </c>
      <c r="AY41">
        <v>9.2200000000000006</v>
      </c>
      <c r="BB41">
        <f t="shared" si="0"/>
        <v>1727.0550000000001</v>
      </c>
    </row>
    <row r="42" spans="1:54" ht="15" thickBot="1" x14ac:dyDescent="0.4">
      <c r="A42" s="1">
        <v>1985</v>
      </c>
      <c r="B42" s="30">
        <v>940100</v>
      </c>
      <c r="C42" s="31">
        <v>607949</v>
      </c>
      <c r="O42" t="s">
        <v>27</v>
      </c>
      <c r="P42" t="s">
        <v>28</v>
      </c>
      <c r="Q42">
        <v>1920</v>
      </c>
      <c r="R42">
        <v>8.18</v>
      </c>
      <c r="W42">
        <v>1909</v>
      </c>
      <c r="X42">
        <v>44519500</v>
      </c>
      <c r="Z42" s="55" t="s">
        <v>78</v>
      </c>
      <c r="AA42" s="56">
        <v>1073547</v>
      </c>
      <c r="AC42" s="35">
        <v>1985</v>
      </c>
      <c r="AD42" s="35">
        <v>255.1</v>
      </c>
      <c r="AE42" s="37">
        <v>1985</v>
      </c>
      <c r="AF42" s="37">
        <v>139</v>
      </c>
      <c r="AJ42" s="35">
        <v>2010</v>
      </c>
      <c r="AK42" s="37">
        <v>142.5</v>
      </c>
      <c r="AL42" s="56">
        <v>1878960</v>
      </c>
      <c r="AM42">
        <v>62759500</v>
      </c>
      <c r="AN42">
        <v>9.23</v>
      </c>
      <c r="AU42">
        <v>2009</v>
      </c>
      <c r="AV42">
        <v>140</v>
      </c>
      <c r="AW42">
        <v>1837817</v>
      </c>
      <c r="AX42">
        <v>62260500</v>
      </c>
      <c r="AY42">
        <v>9.23</v>
      </c>
      <c r="BB42">
        <f t="shared" si="0"/>
        <v>1628.2</v>
      </c>
    </row>
    <row r="43" spans="1:54" ht="15" thickBot="1" x14ac:dyDescent="0.4">
      <c r="A43" s="1">
        <v>1986</v>
      </c>
      <c r="B43" s="30">
        <v>930100</v>
      </c>
      <c r="C43" s="31">
        <v>625409.99999999988</v>
      </c>
      <c r="O43" t="s">
        <v>27</v>
      </c>
      <c r="P43" t="s">
        <v>28</v>
      </c>
      <c r="Q43">
        <v>1921</v>
      </c>
      <c r="R43">
        <v>8.1999999999999993</v>
      </c>
      <c r="W43">
        <v>1910</v>
      </c>
      <c r="X43">
        <v>44915900</v>
      </c>
      <c r="Z43" s="55" t="s">
        <v>79</v>
      </c>
      <c r="AA43" s="56">
        <v>1106912</v>
      </c>
      <c r="AC43" s="35">
        <v>1986</v>
      </c>
      <c r="AD43" s="35">
        <v>251.1</v>
      </c>
      <c r="AE43" s="37">
        <v>1986</v>
      </c>
      <c r="AF43" s="37">
        <v>136</v>
      </c>
      <c r="AJ43" s="35">
        <v>2011</v>
      </c>
      <c r="AK43" s="35">
        <v>142</v>
      </c>
      <c r="AL43" s="56">
        <v>1900476</v>
      </c>
      <c r="AM43">
        <v>63285100</v>
      </c>
      <c r="AN43">
        <v>9.25</v>
      </c>
      <c r="AU43">
        <v>2010</v>
      </c>
      <c r="AV43">
        <v>142.5</v>
      </c>
      <c r="AW43">
        <v>1878960</v>
      </c>
      <c r="AX43">
        <v>62759500</v>
      </c>
      <c r="AY43">
        <v>9.23</v>
      </c>
      <c r="BB43">
        <f t="shared" si="0"/>
        <v>1657.2750000000001</v>
      </c>
    </row>
    <row r="44" spans="1:54" ht="15" thickBot="1" x14ac:dyDescent="0.4">
      <c r="A44" s="1">
        <v>1987</v>
      </c>
      <c r="B44" s="30">
        <v>920100</v>
      </c>
      <c r="C44" s="31">
        <v>628532</v>
      </c>
      <c r="O44" t="s">
        <v>27</v>
      </c>
      <c r="P44" t="s">
        <v>28</v>
      </c>
      <c r="Q44">
        <v>1922</v>
      </c>
      <c r="R44">
        <v>8.1999999999999993</v>
      </c>
      <c r="W44">
        <v>1911</v>
      </c>
      <c r="X44">
        <v>42189800</v>
      </c>
      <c r="Z44" s="55" t="s">
        <v>80</v>
      </c>
      <c r="AA44" s="56">
        <v>1166905</v>
      </c>
      <c r="AC44" s="35">
        <v>1987</v>
      </c>
      <c r="AD44" s="35">
        <v>258.10000000000002</v>
      </c>
      <c r="AE44" s="37">
        <v>1987</v>
      </c>
      <c r="AF44" s="37">
        <v>135</v>
      </c>
      <c r="AJ44" s="35">
        <v>2012</v>
      </c>
      <c r="AK44" s="35">
        <v>144.5</v>
      </c>
      <c r="AL44" s="56">
        <v>1929229</v>
      </c>
      <c r="AM44">
        <v>63710800</v>
      </c>
      <c r="AN44">
        <v>9.27</v>
      </c>
      <c r="AP44" cm="1">
        <f t="array" ref="AP44:AT48">LINEST(BB47:BB56,AW47:AZ56,TRUE,TRUE)</f>
        <v>-1.9921625821602125</v>
      </c>
      <c r="AQ44">
        <v>8875.4913743676043</v>
      </c>
      <c r="AR44">
        <v>-4.6179073311860088E-4</v>
      </c>
      <c r="AS44">
        <v>1.3089467889360101E-3</v>
      </c>
      <c r="AT44">
        <v>-53790.713466213463</v>
      </c>
      <c r="AU44">
        <v>2011</v>
      </c>
      <c r="AV44">
        <v>142</v>
      </c>
      <c r="AW44">
        <v>1900476</v>
      </c>
      <c r="AX44">
        <v>63285100</v>
      </c>
      <c r="AY44">
        <v>9.25</v>
      </c>
      <c r="BB44">
        <f t="shared" si="0"/>
        <v>1651.46</v>
      </c>
    </row>
    <row r="45" spans="1:54" ht="15" thickBot="1" x14ac:dyDescent="0.4">
      <c r="A45" s="1">
        <v>1988</v>
      </c>
      <c r="B45" s="30">
        <v>910100</v>
      </c>
      <c r="C45" s="31">
        <v>640447</v>
      </c>
      <c r="O45" t="s">
        <v>27</v>
      </c>
      <c r="P45" t="s">
        <v>28</v>
      </c>
      <c r="Q45">
        <v>1923</v>
      </c>
      <c r="R45">
        <v>8.2100000000000009</v>
      </c>
      <c r="W45">
        <v>1912</v>
      </c>
      <c r="X45">
        <v>42373600</v>
      </c>
      <c r="Z45" s="55" t="s">
        <v>81</v>
      </c>
      <c r="AA45" s="56">
        <v>1229650</v>
      </c>
      <c r="AC45" s="35">
        <v>1988</v>
      </c>
      <c r="AD45" s="35">
        <v>267.5</v>
      </c>
      <c r="AE45" s="37">
        <v>1988</v>
      </c>
      <c r="AF45" s="37">
        <v>132</v>
      </c>
      <c r="AJ45" s="35">
        <v>2013</v>
      </c>
      <c r="AK45" s="35">
        <v>143.80000000000001</v>
      </c>
      <c r="AL45" s="56">
        <v>1963807</v>
      </c>
      <c r="AM45">
        <v>64138700</v>
      </c>
      <c r="AN45">
        <v>9.2799999999999994</v>
      </c>
      <c r="AP45">
        <v>6.9179696006052502</v>
      </c>
      <c r="AQ45">
        <v>4961.2527322019432</v>
      </c>
      <c r="AR45">
        <v>1.9155943768322956E-4</v>
      </c>
      <c r="AS45">
        <v>4.283938035726481E-4</v>
      </c>
      <c r="AT45">
        <v>35443.710909319299</v>
      </c>
      <c r="AU45">
        <v>2012</v>
      </c>
      <c r="AV45">
        <v>144.5</v>
      </c>
      <c r="AW45">
        <v>1929229</v>
      </c>
      <c r="AX45">
        <v>63710800</v>
      </c>
      <c r="AY45">
        <v>9.27</v>
      </c>
      <c r="BB45">
        <f t="shared" si="0"/>
        <v>1680.5350000000001</v>
      </c>
    </row>
    <row r="46" spans="1:54" ht="15" thickBot="1" x14ac:dyDescent="0.4">
      <c r="A46" s="1">
        <v>1989</v>
      </c>
      <c r="B46" s="30">
        <v>900100</v>
      </c>
      <c r="C46" s="31">
        <v>632463.80000000005</v>
      </c>
      <c r="O46" t="s">
        <v>27</v>
      </c>
      <c r="P46" t="s">
        <v>28</v>
      </c>
      <c r="Q46">
        <v>1924</v>
      </c>
      <c r="R46">
        <v>8.23</v>
      </c>
      <c r="W46">
        <v>1913</v>
      </c>
      <c r="X46">
        <v>42582300</v>
      </c>
      <c r="Z46" s="55" t="s">
        <v>82</v>
      </c>
      <c r="AA46" s="56">
        <v>1259191</v>
      </c>
      <c r="AC46" s="35">
        <v>1989</v>
      </c>
      <c r="AD46" s="35">
        <v>270</v>
      </c>
      <c r="AE46" s="37">
        <v>1989</v>
      </c>
      <c r="AF46" s="37">
        <v>130</v>
      </c>
      <c r="AJ46" s="35">
        <v>2014</v>
      </c>
      <c r="AK46" s="35">
        <v>140.69999999999999</v>
      </c>
      <c r="AL46" s="56">
        <v>2026566</v>
      </c>
      <c r="AM46">
        <v>64619500</v>
      </c>
      <c r="AN46">
        <v>9.31</v>
      </c>
      <c r="AP46">
        <v>0.79838501153008024</v>
      </c>
      <c r="AQ46">
        <v>61.479711987252855</v>
      </c>
      <c r="AR46" t="e">
        <v>#N/A</v>
      </c>
      <c r="AS46" t="e">
        <v>#N/A</v>
      </c>
      <c r="AT46" t="e">
        <v>#N/A</v>
      </c>
      <c r="AU46">
        <v>2013</v>
      </c>
      <c r="AV46">
        <v>143.80000000000001</v>
      </c>
      <c r="AW46">
        <v>1963807</v>
      </c>
      <c r="AX46">
        <v>64138700</v>
      </c>
      <c r="AY46">
        <v>9.2799999999999994</v>
      </c>
      <c r="BB46">
        <f t="shared" si="0"/>
        <v>1672.3940000000002</v>
      </c>
    </row>
    <row r="47" spans="1:54" ht="15" thickBot="1" x14ac:dyDescent="0.4">
      <c r="A47" s="1">
        <v>1990</v>
      </c>
      <c r="B47" s="30">
        <v>890100</v>
      </c>
      <c r="C47" s="31">
        <v>637836.80000000005</v>
      </c>
      <c r="O47" t="s">
        <v>27</v>
      </c>
      <c r="P47" t="s">
        <v>28</v>
      </c>
      <c r="Q47">
        <v>1925</v>
      </c>
      <c r="R47">
        <v>8.24</v>
      </c>
      <c r="W47">
        <v>1914</v>
      </c>
      <c r="X47">
        <v>42956900</v>
      </c>
      <c r="Z47" s="55" t="s">
        <v>83</v>
      </c>
      <c r="AA47" s="56">
        <v>1266248</v>
      </c>
      <c r="AC47" s="35">
        <v>1990</v>
      </c>
      <c r="AD47" s="35">
        <v>268.2</v>
      </c>
      <c r="AE47" s="37">
        <v>1990</v>
      </c>
      <c r="AF47" s="37">
        <v>130</v>
      </c>
      <c r="AJ47" s="35">
        <v>2015</v>
      </c>
      <c r="AK47" s="35">
        <v>142.1</v>
      </c>
      <c r="AL47" s="56">
        <v>2071561</v>
      </c>
      <c r="AM47">
        <v>65088100</v>
      </c>
      <c r="AN47">
        <v>9.33</v>
      </c>
      <c r="AP47">
        <v>4.9499358752362559</v>
      </c>
      <c r="AQ47">
        <v>5</v>
      </c>
      <c r="AR47" t="e">
        <v>#N/A</v>
      </c>
      <c r="AS47" t="e">
        <v>#N/A</v>
      </c>
      <c r="AT47" t="e">
        <v>#N/A</v>
      </c>
      <c r="AU47">
        <v>2014</v>
      </c>
      <c r="AV47">
        <v>140.69999999999999</v>
      </c>
      <c r="AW47">
        <v>2026566</v>
      </c>
      <c r="AX47">
        <v>64619500</v>
      </c>
      <c r="AY47">
        <v>9.31</v>
      </c>
      <c r="AZ47">
        <v>10.7</v>
      </c>
      <c r="BA47">
        <f t="shared" ref="BA47:BA56" si="1">$AP$44*AZ47+$AQ$44*AY47+$AR$44*AX47+$AS$44*AW47+$AT$44</f>
        <v>1630.7758690292976</v>
      </c>
      <c r="BB47">
        <f t="shared" si="0"/>
        <v>1636.3409999999999</v>
      </c>
    </row>
    <row r="48" spans="1:54" ht="15" thickBot="1" x14ac:dyDescent="0.4">
      <c r="A48" s="1">
        <v>1991</v>
      </c>
      <c r="B48" s="30">
        <v>880100</v>
      </c>
      <c r="C48" s="31">
        <v>655757</v>
      </c>
      <c r="O48" t="s">
        <v>27</v>
      </c>
      <c r="P48" t="s">
        <v>28</v>
      </c>
      <c r="Q48">
        <v>1926</v>
      </c>
      <c r="R48">
        <v>8.25</v>
      </c>
      <c r="W48">
        <v>1915</v>
      </c>
      <c r="X48">
        <v>41361500</v>
      </c>
      <c r="Z48" s="55" t="s">
        <v>84</v>
      </c>
      <c r="AA48" s="56">
        <v>1248461</v>
      </c>
      <c r="AC48" s="35">
        <v>1991</v>
      </c>
      <c r="AD48" s="35">
        <v>236.3</v>
      </c>
      <c r="AE48" s="37">
        <v>1991</v>
      </c>
      <c r="AF48" s="37">
        <v>128</v>
      </c>
      <c r="AJ48" s="35">
        <v>2016</v>
      </c>
      <c r="AK48" s="35">
        <v>142</v>
      </c>
      <c r="AL48" s="56">
        <v>2111357</v>
      </c>
      <c r="AM48">
        <v>65607100</v>
      </c>
      <c r="AN48">
        <v>9.35</v>
      </c>
      <c r="AP48">
        <v>74838.179219922167</v>
      </c>
      <c r="AQ48">
        <v>18898.774930177809</v>
      </c>
      <c r="AR48" t="e">
        <v>#N/A</v>
      </c>
      <c r="AS48" t="e">
        <v>#N/A</v>
      </c>
      <c r="AT48" t="e">
        <v>#N/A</v>
      </c>
      <c r="AU48">
        <v>2015</v>
      </c>
      <c r="AV48">
        <v>142.1</v>
      </c>
      <c r="AW48">
        <v>2071561</v>
      </c>
      <c r="AX48">
        <v>65088100</v>
      </c>
      <c r="AY48">
        <v>9.33</v>
      </c>
      <c r="AZ48">
        <v>14.2</v>
      </c>
      <c r="BA48">
        <f t="shared" si="1"/>
        <v>1643.8140507078788</v>
      </c>
      <c r="BB48">
        <f t="shared" si="0"/>
        <v>1652.623</v>
      </c>
    </row>
    <row r="49" spans="1:70" ht="15" thickBot="1" x14ac:dyDescent="0.4">
      <c r="A49" s="1">
        <v>1992</v>
      </c>
      <c r="B49" s="30">
        <v>870100</v>
      </c>
      <c r="C49" s="31">
        <v>653683.4</v>
      </c>
      <c r="O49" t="s">
        <v>27</v>
      </c>
      <c r="P49" t="s">
        <v>28</v>
      </c>
      <c r="Q49">
        <v>1927</v>
      </c>
      <c r="R49">
        <v>8.26</v>
      </c>
      <c r="W49">
        <v>1916</v>
      </c>
      <c r="X49">
        <v>40536300</v>
      </c>
      <c r="Z49" s="55" t="s">
        <v>85</v>
      </c>
      <c r="AA49" s="56">
        <v>1251525</v>
      </c>
      <c r="AC49" s="35">
        <v>1992</v>
      </c>
      <c r="AD49" s="35">
        <v>232.9</v>
      </c>
      <c r="AE49" s="37">
        <v>1992</v>
      </c>
      <c r="AF49" s="37">
        <v>126.5</v>
      </c>
      <c r="AJ49" s="35">
        <v>2017</v>
      </c>
      <c r="AK49" s="35">
        <v>141.5</v>
      </c>
      <c r="AL49" s="56">
        <v>2167415</v>
      </c>
      <c r="AM49">
        <v>65966000</v>
      </c>
      <c r="AN49">
        <v>9.3699999999999992</v>
      </c>
      <c r="AU49">
        <v>2016</v>
      </c>
      <c r="AV49">
        <v>142</v>
      </c>
      <c r="AW49">
        <v>2111357</v>
      </c>
      <c r="AX49">
        <v>65607100</v>
      </c>
      <c r="AY49">
        <v>9.35</v>
      </c>
      <c r="AZ49">
        <v>14.5</v>
      </c>
      <c r="BA49">
        <f t="shared" si="1"/>
        <v>1633.1476853445056</v>
      </c>
      <c r="BB49">
        <f t="shared" si="0"/>
        <v>1651.46</v>
      </c>
    </row>
    <row r="50" spans="1:70" ht="15" thickBot="1" x14ac:dyDescent="0.4">
      <c r="A50" s="1">
        <v>1993</v>
      </c>
      <c r="B50" s="30">
        <v>860100</v>
      </c>
      <c r="C50" s="31">
        <v>660449.6</v>
      </c>
      <c r="O50" t="s">
        <v>27</v>
      </c>
      <c r="P50" t="s">
        <v>28</v>
      </c>
      <c r="Q50">
        <v>1928</v>
      </c>
      <c r="R50">
        <v>8.27</v>
      </c>
      <c r="W50">
        <v>1917</v>
      </c>
      <c r="X50">
        <v>39780700</v>
      </c>
      <c r="Z50" s="55" t="s">
        <v>86</v>
      </c>
      <c r="AA50" s="56">
        <v>1279802</v>
      </c>
      <c r="AC50" s="35">
        <v>1993</v>
      </c>
      <c r="AD50" s="35">
        <v>230.7</v>
      </c>
      <c r="AE50" s="37">
        <v>1993</v>
      </c>
      <c r="AF50" s="37">
        <v>125</v>
      </c>
      <c r="AJ50" s="35">
        <v>2018</v>
      </c>
      <c r="AK50" s="35">
        <v>142</v>
      </c>
      <c r="AL50" s="56">
        <v>2197841</v>
      </c>
      <c r="AM50">
        <v>66288900</v>
      </c>
      <c r="AN50">
        <v>9.3800000000000008</v>
      </c>
      <c r="AU50">
        <v>2017</v>
      </c>
      <c r="AV50">
        <v>141.5</v>
      </c>
      <c r="AW50">
        <v>2167415</v>
      </c>
      <c r="AX50">
        <v>65966000</v>
      </c>
      <c r="AY50">
        <v>9.3699999999999992</v>
      </c>
      <c r="AZ50">
        <v>20.3</v>
      </c>
      <c r="BA50">
        <f t="shared" si="1"/>
        <v>1706.7432148332518</v>
      </c>
      <c r="BB50">
        <f t="shared" si="0"/>
        <v>1645.6450000000002</v>
      </c>
      <c r="BQ50" s="35"/>
      <c r="BR50" s="35">
        <v>1798.26</v>
      </c>
    </row>
    <row r="51" spans="1:70" ht="15" thickBot="1" x14ac:dyDescent="0.4">
      <c r="A51" s="1">
        <v>1994</v>
      </c>
      <c r="B51" s="30">
        <v>850100</v>
      </c>
      <c r="C51" s="31">
        <v>659843.6</v>
      </c>
      <c r="O51" t="s">
        <v>27</v>
      </c>
      <c r="P51" t="s">
        <v>28</v>
      </c>
      <c r="Q51">
        <v>1929</v>
      </c>
      <c r="R51">
        <v>8.2899999999999991</v>
      </c>
      <c r="W51">
        <v>1918</v>
      </c>
      <c r="X51">
        <v>39582000</v>
      </c>
      <c r="Z51" s="55" t="s">
        <v>87</v>
      </c>
      <c r="AA51" s="56">
        <v>1323443</v>
      </c>
      <c r="AC51" s="35">
        <v>1994</v>
      </c>
      <c r="AD51" s="35">
        <v>228.5</v>
      </c>
      <c r="AE51" s="37">
        <v>1994</v>
      </c>
      <c r="AF51" s="37">
        <v>124.8</v>
      </c>
      <c r="AJ51" s="35">
        <v>2019</v>
      </c>
      <c r="AK51" s="35">
        <v>142</v>
      </c>
      <c r="AL51" s="56">
        <v>2233921</v>
      </c>
      <c r="AM51">
        <v>66630700</v>
      </c>
      <c r="AN51">
        <v>9.39</v>
      </c>
      <c r="AU51">
        <v>2018</v>
      </c>
      <c r="AV51">
        <v>142</v>
      </c>
      <c r="AW51">
        <v>2197841</v>
      </c>
      <c r="AX51">
        <v>66288900</v>
      </c>
      <c r="AY51">
        <v>9.3800000000000008</v>
      </c>
      <c r="AZ51">
        <v>27.6</v>
      </c>
      <c r="BA51">
        <f t="shared" si="1"/>
        <v>1671.6691290033486</v>
      </c>
      <c r="BB51">
        <f t="shared" si="0"/>
        <v>1651.46</v>
      </c>
      <c r="BQ51" s="35"/>
      <c r="BR51" s="35">
        <v>1789.27</v>
      </c>
    </row>
    <row r="52" spans="1:70" ht="15" thickBot="1" x14ac:dyDescent="0.4">
      <c r="A52" s="1">
        <v>1995</v>
      </c>
      <c r="B52" s="30">
        <v>840100</v>
      </c>
      <c r="C52" s="31">
        <v>650774.82827171101</v>
      </c>
      <c r="O52" t="s">
        <v>27</v>
      </c>
      <c r="P52" t="s">
        <v>28</v>
      </c>
      <c r="Q52">
        <v>1930</v>
      </c>
      <c r="R52">
        <v>8.31</v>
      </c>
      <c r="W52">
        <v>1919</v>
      </c>
      <c r="X52">
        <v>42944100</v>
      </c>
      <c r="Z52" s="55" t="s">
        <v>88</v>
      </c>
      <c r="AA52" s="56">
        <v>1355023</v>
      </c>
      <c r="AC52" s="35">
        <v>1995</v>
      </c>
      <c r="AD52" s="35">
        <v>232.1</v>
      </c>
      <c r="AE52" s="37">
        <v>1995</v>
      </c>
      <c r="AF52" s="37">
        <v>123.5</v>
      </c>
      <c r="AJ52" s="35">
        <v>2020</v>
      </c>
      <c r="AK52" s="35">
        <v>122</v>
      </c>
      <c r="AL52" s="56">
        <v>2002489</v>
      </c>
      <c r="AM52">
        <v>66744100</v>
      </c>
      <c r="AN52">
        <v>9.41</v>
      </c>
      <c r="AU52">
        <v>2019</v>
      </c>
      <c r="AV52">
        <v>142</v>
      </c>
      <c r="AW52">
        <v>2233921</v>
      </c>
      <c r="AX52">
        <v>66630700</v>
      </c>
      <c r="AY52">
        <v>9.39</v>
      </c>
      <c r="AZ52">
        <v>31.5</v>
      </c>
      <c r="BA52">
        <f t="shared" si="1"/>
        <v>1642.0413362414693</v>
      </c>
      <c r="BB52">
        <f t="shared" si="0"/>
        <v>1651.46</v>
      </c>
      <c r="BQ52" s="35"/>
      <c r="BR52" s="35">
        <v>1780.33</v>
      </c>
    </row>
    <row r="53" spans="1:70" ht="15" thickBot="1" x14ac:dyDescent="0.4">
      <c r="A53" s="1">
        <v>1996</v>
      </c>
      <c r="B53" s="30">
        <v>830100</v>
      </c>
      <c r="C53" s="31">
        <v>678212.31720209005</v>
      </c>
      <c r="O53" t="s">
        <v>27</v>
      </c>
      <c r="P53" t="s">
        <v>28</v>
      </c>
      <c r="Q53">
        <v>1931</v>
      </c>
      <c r="R53">
        <v>8.33</v>
      </c>
      <c r="W53">
        <v>1920</v>
      </c>
      <c r="X53">
        <v>43646400</v>
      </c>
      <c r="Z53" s="55" t="s">
        <v>89</v>
      </c>
      <c r="AA53" s="56">
        <v>1390010</v>
      </c>
      <c r="AC53" s="35">
        <v>1996</v>
      </c>
      <c r="AD53" s="35">
        <v>240.4</v>
      </c>
      <c r="AE53" s="37">
        <v>1996</v>
      </c>
      <c r="AF53" s="37">
        <v>125</v>
      </c>
      <c r="AJ53" s="35">
        <v>2021</v>
      </c>
      <c r="AK53" s="35">
        <v>145</v>
      </c>
      <c r="AL53" s="56">
        <v>2176203</v>
      </c>
      <c r="AM53">
        <v>66983500</v>
      </c>
      <c r="AN53">
        <v>9.41</v>
      </c>
      <c r="AU53">
        <v>2020</v>
      </c>
      <c r="AV53">
        <v>122</v>
      </c>
      <c r="AW53">
        <v>2002489</v>
      </c>
      <c r="AX53">
        <v>66744100</v>
      </c>
      <c r="AY53">
        <v>9.41</v>
      </c>
      <c r="AZ53">
        <v>37.5</v>
      </c>
      <c r="BA53">
        <f t="shared" si="1"/>
        <v>1452.2989458431548</v>
      </c>
      <c r="BB53">
        <f t="shared" si="0"/>
        <v>1418.8600000000001</v>
      </c>
      <c r="BQ53" s="35"/>
      <c r="BR53" s="35">
        <v>1771.42</v>
      </c>
    </row>
    <row r="54" spans="1:70" ht="15" thickBot="1" x14ac:dyDescent="0.4">
      <c r="A54" s="1">
        <v>1997</v>
      </c>
      <c r="B54" s="30">
        <v>820100</v>
      </c>
      <c r="C54" s="31">
        <v>666190.7047711676</v>
      </c>
      <c r="O54" t="s">
        <v>27</v>
      </c>
      <c r="P54" t="s">
        <v>28</v>
      </c>
      <c r="Q54">
        <v>1932</v>
      </c>
      <c r="R54">
        <v>8.35</v>
      </c>
      <c r="W54">
        <v>1921</v>
      </c>
      <c r="X54">
        <v>43904100</v>
      </c>
      <c r="Z54" s="55" t="s">
        <v>90</v>
      </c>
      <c r="AA54" s="56">
        <v>1458467</v>
      </c>
      <c r="AC54" s="35">
        <v>1997</v>
      </c>
      <c r="AD54" s="35">
        <v>239.9</v>
      </c>
      <c r="AE54" s="37">
        <v>1997</v>
      </c>
      <c r="AF54" s="37">
        <v>127</v>
      </c>
      <c r="AJ54" s="35">
        <v>2022</v>
      </c>
      <c r="AK54" s="35">
        <v>125.8</v>
      </c>
      <c r="AL54" s="56">
        <v>2270764</v>
      </c>
      <c r="AM54">
        <v>67602800</v>
      </c>
      <c r="AN54">
        <v>9.42</v>
      </c>
      <c r="AU54">
        <v>2021</v>
      </c>
      <c r="AV54">
        <v>145</v>
      </c>
      <c r="AW54">
        <v>2176203</v>
      </c>
      <c r="AX54">
        <v>66983500</v>
      </c>
      <c r="AY54">
        <v>9.41</v>
      </c>
      <c r="AZ54">
        <v>33.700000000000003</v>
      </c>
      <c r="BA54">
        <f t="shared" si="1"/>
        <v>1576.6988446400064</v>
      </c>
      <c r="BB54">
        <f t="shared" si="0"/>
        <v>1686.3500000000001</v>
      </c>
      <c r="BQ54" s="35"/>
      <c r="BR54" s="35">
        <v>1762.57</v>
      </c>
    </row>
    <row r="55" spans="1:70" ht="15" thickBot="1" x14ac:dyDescent="0.4">
      <c r="A55" s="1">
        <v>1998</v>
      </c>
      <c r="B55" s="30">
        <v>810100</v>
      </c>
      <c r="C55" s="31">
        <v>674138.26760766504</v>
      </c>
      <c r="O55" t="s">
        <v>27</v>
      </c>
      <c r="P55" t="s">
        <v>28</v>
      </c>
      <c r="Q55">
        <v>1933</v>
      </c>
      <c r="R55">
        <v>8.3699999999999992</v>
      </c>
      <c r="W55">
        <v>1922</v>
      </c>
      <c r="X55">
        <v>44331500</v>
      </c>
      <c r="Z55" s="55" t="s">
        <v>91</v>
      </c>
      <c r="AA55" s="56">
        <v>1508263</v>
      </c>
      <c r="AC55" s="35">
        <v>1998</v>
      </c>
      <c r="AD55" s="35">
        <v>238</v>
      </c>
      <c r="AE55" s="37">
        <v>1998</v>
      </c>
      <c r="AF55" s="37">
        <v>130</v>
      </c>
      <c r="AJ55" s="35">
        <v>2023</v>
      </c>
      <c r="AK55" s="35">
        <v>125</v>
      </c>
      <c r="AL55" s="56">
        <v>2273126</v>
      </c>
      <c r="AM55">
        <v>68265200</v>
      </c>
      <c r="AU55">
        <v>2022</v>
      </c>
      <c r="AV55">
        <v>125.8</v>
      </c>
      <c r="AW55">
        <v>2270764</v>
      </c>
      <c r="AX55">
        <v>67602800</v>
      </c>
      <c r="AY55">
        <v>9.42</v>
      </c>
      <c r="AZ55">
        <v>37.5</v>
      </c>
      <c r="BA55">
        <f t="shared" si="1"/>
        <v>1495.6718568596916</v>
      </c>
      <c r="BB55">
        <f t="shared" si="0"/>
        <v>1463.0540000000001</v>
      </c>
      <c r="BQ55" s="35"/>
      <c r="BR55" s="35">
        <v>1753.75</v>
      </c>
    </row>
    <row r="56" spans="1:70" ht="15" thickBot="1" x14ac:dyDescent="0.4">
      <c r="A56" s="1">
        <v>1999</v>
      </c>
      <c r="B56" s="30">
        <v>800100</v>
      </c>
      <c r="C56" s="31">
        <v>677250.43870195665</v>
      </c>
      <c r="O56" t="s">
        <v>27</v>
      </c>
      <c r="P56" t="s">
        <v>28</v>
      </c>
      <c r="Q56">
        <v>1934</v>
      </c>
      <c r="R56">
        <v>8.39</v>
      </c>
      <c r="W56">
        <v>1923</v>
      </c>
      <c r="X56">
        <v>44563100</v>
      </c>
      <c r="Z56" s="55" t="s">
        <v>92</v>
      </c>
      <c r="AA56" s="56">
        <v>1554509</v>
      </c>
      <c r="AC56" s="35">
        <v>1999</v>
      </c>
      <c r="AD56" s="35">
        <v>238.6</v>
      </c>
      <c r="AE56" s="37">
        <v>1999</v>
      </c>
      <c r="AF56" s="37">
        <v>132</v>
      </c>
      <c r="AJ56" s="35">
        <v>2024</v>
      </c>
      <c r="AU56">
        <v>2023</v>
      </c>
      <c r="AV56">
        <v>125</v>
      </c>
      <c r="AW56">
        <v>2273126</v>
      </c>
      <c r="AX56">
        <v>68265200</v>
      </c>
      <c r="AY56">
        <v>9.4499999999999993</v>
      </c>
      <c r="AZ56">
        <v>38</v>
      </c>
      <c r="BA56">
        <f t="shared" si="1"/>
        <v>1458.1420674973488</v>
      </c>
      <c r="BB56">
        <f t="shared" si="0"/>
        <v>1453.75</v>
      </c>
      <c r="BQ56" s="35"/>
      <c r="BR56" s="35">
        <v>1744.99</v>
      </c>
    </row>
    <row r="57" spans="1:70" ht="15" thickBot="1" x14ac:dyDescent="0.4">
      <c r="A57" s="1">
        <v>2000</v>
      </c>
      <c r="B57" s="30">
        <v>790100</v>
      </c>
      <c r="C57" s="31">
        <v>688340.45326725347</v>
      </c>
      <c r="O57" t="s">
        <v>27</v>
      </c>
      <c r="P57" t="s">
        <v>28</v>
      </c>
      <c r="Q57">
        <v>1935</v>
      </c>
      <c r="R57">
        <v>8.4</v>
      </c>
      <c r="W57">
        <v>1924</v>
      </c>
      <c r="X57">
        <v>44885600</v>
      </c>
      <c r="Z57" s="55" t="s">
        <v>93</v>
      </c>
      <c r="AA57" s="56">
        <v>1621644</v>
      </c>
      <c r="AC57" s="35">
        <v>2000</v>
      </c>
      <c r="AD57" s="35">
        <v>250.6</v>
      </c>
      <c r="AE57" s="37">
        <v>2000</v>
      </c>
      <c r="AF57" s="37">
        <v>152</v>
      </c>
      <c r="AJ57" s="35">
        <v>2025</v>
      </c>
      <c r="AU57">
        <v>2024</v>
      </c>
      <c r="AV57">
        <v>1798.26</v>
      </c>
      <c r="BQ57" s="35"/>
      <c r="BR57" s="35">
        <v>1736.26</v>
      </c>
    </row>
    <row r="58" spans="1:70" ht="15" thickBot="1" x14ac:dyDescent="0.4">
      <c r="A58" s="1">
        <v>2001</v>
      </c>
      <c r="B58" s="30">
        <v>810100</v>
      </c>
      <c r="C58" s="31">
        <v>694260.2013404395</v>
      </c>
      <c r="O58" t="s">
        <v>27</v>
      </c>
      <c r="P58" t="s">
        <v>28</v>
      </c>
      <c r="Q58">
        <v>1936</v>
      </c>
      <c r="R58">
        <v>8.42</v>
      </c>
      <c r="W58">
        <v>1925</v>
      </c>
      <c r="X58">
        <v>45040000</v>
      </c>
      <c r="Z58" s="55" t="s">
        <v>94</v>
      </c>
      <c r="AA58" s="56">
        <v>1663462</v>
      </c>
      <c r="AC58" s="35">
        <v>2001</v>
      </c>
      <c r="AD58" s="35">
        <v>236.2</v>
      </c>
      <c r="AE58" s="37">
        <v>2001</v>
      </c>
      <c r="AF58" s="37">
        <v>155</v>
      </c>
      <c r="AJ58" s="35">
        <v>2026</v>
      </c>
      <c r="AU58">
        <v>2025</v>
      </c>
      <c r="AV58">
        <v>1789.27</v>
      </c>
      <c r="BQ58" s="35"/>
      <c r="BR58" s="35">
        <v>1727.58</v>
      </c>
    </row>
    <row r="59" spans="1:70" ht="15" thickBot="1" x14ac:dyDescent="0.4">
      <c r="A59" s="1">
        <v>2002</v>
      </c>
      <c r="B59" s="30">
        <v>770100</v>
      </c>
      <c r="C59" s="31">
        <v>677396.19664049649</v>
      </c>
      <c r="O59" t="s">
        <v>27</v>
      </c>
      <c r="P59" t="s">
        <v>28</v>
      </c>
      <c r="Q59">
        <v>1937</v>
      </c>
      <c r="R59">
        <v>8.43</v>
      </c>
      <c r="W59">
        <v>1926</v>
      </c>
      <c r="X59">
        <v>45217600</v>
      </c>
      <c r="Z59" s="55" t="s">
        <v>95</v>
      </c>
      <c r="AA59" s="56">
        <v>1693271</v>
      </c>
      <c r="AC59" s="35">
        <v>2002</v>
      </c>
      <c r="AD59" s="35">
        <v>237.4</v>
      </c>
      <c r="AE59" s="37">
        <v>2002</v>
      </c>
      <c r="AF59" s="37">
        <v>153.19999999999999</v>
      </c>
      <c r="AJ59" s="35">
        <v>2027</v>
      </c>
      <c r="AU59">
        <v>2026</v>
      </c>
      <c r="AV59">
        <v>1780.33</v>
      </c>
      <c r="BQ59" s="35"/>
      <c r="BR59" s="35">
        <v>1718.94</v>
      </c>
    </row>
    <row r="60" spans="1:70" ht="15" thickBot="1" x14ac:dyDescent="0.4">
      <c r="A60" s="1">
        <v>2003</v>
      </c>
      <c r="B60" s="30">
        <v>760100</v>
      </c>
      <c r="C60" s="31">
        <v>684351.80884564423</v>
      </c>
      <c r="O60" t="s">
        <v>27</v>
      </c>
      <c r="P60" t="s">
        <v>28</v>
      </c>
      <c r="Q60">
        <v>1938</v>
      </c>
      <c r="R60">
        <v>8.44</v>
      </c>
      <c r="W60">
        <v>1927</v>
      </c>
      <c r="X60">
        <v>45432000</v>
      </c>
      <c r="Z60" s="55" t="s">
        <v>96</v>
      </c>
      <c r="AA60" s="56">
        <v>1746551</v>
      </c>
      <c r="AC60" s="35">
        <v>2003</v>
      </c>
      <c r="AD60" s="35">
        <v>239.8</v>
      </c>
      <c r="AE60" s="37">
        <v>2003</v>
      </c>
      <c r="AF60" s="37">
        <v>154.5</v>
      </c>
      <c r="AJ60" s="35">
        <v>2028</v>
      </c>
      <c r="AU60">
        <v>2027</v>
      </c>
      <c r="AV60">
        <v>1771.42</v>
      </c>
      <c r="BQ60" s="35"/>
      <c r="BR60" s="35">
        <v>1710.35</v>
      </c>
    </row>
    <row r="61" spans="1:70" ht="15" thickBot="1" x14ac:dyDescent="0.4">
      <c r="A61" s="1">
        <v>2004</v>
      </c>
      <c r="B61" s="30">
        <v>750100</v>
      </c>
      <c r="C61" s="31">
        <v>691921.26444221428</v>
      </c>
      <c r="O61" t="s">
        <v>27</v>
      </c>
      <c r="P61" t="s">
        <v>28</v>
      </c>
      <c r="Q61">
        <v>1939</v>
      </c>
      <c r="R61">
        <v>8.4499999999999993</v>
      </c>
      <c r="W61">
        <v>1928</v>
      </c>
      <c r="X61">
        <v>45622200</v>
      </c>
      <c r="Z61" s="55" t="s">
        <v>97</v>
      </c>
      <c r="AA61" s="56">
        <v>1788931</v>
      </c>
      <c r="AC61" s="35">
        <v>2004</v>
      </c>
      <c r="AD61" s="35">
        <v>240.5</v>
      </c>
      <c r="AE61" s="37">
        <v>2004</v>
      </c>
      <c r="AF61" s="37">
        <v>154.80000000000001</v>
      </c>
      <c r="AJ61" s="35">
        <v>2029</v>
      </c>
      <c r="AU61">
        <v>2028</v>
      </c>
      <c r="AV61">
        <v>1762.57</v>
      </c>
      <c r="BQ61" s="35"/>
      <c r="BR61" s="35">
        <v>1701.79</v>
      </c>
    </row>
    <row r="62" spans="1:70" ht="15" thickBot="1" x14ac:dyDescent="0.4">
      <c r="A62" s="1">
        <v>2005</v>
      </c>
      <c r="B62" s="30">
        <v>740100</v>
      </c>
      <c r="C62" s="31">
        <v>691254.59674742271</v>
      </c>
      <c r="O62" t="s">
        <v>27</v>
      </c>
      <c r="P62" t="s">
        <v>28</v>
      </c>
      <c r="Q62">
        <v>1940</v>
      </c>
      <c r="R62">
        <v>8.4499999999999993</v>
      </c>
      <c r="W62">
        <v>1929</v>
      </c>
      <c r="X62">
        <v>45731000</v>
      </c>
      <c r="Z62" s="55" t="s">
        <v>98</v>
      </c>
      <c r="AA62" s="56">
        <v>1837927</v>
      </c>
      <c r="AC62" s="35">
        <v>2005</v>
      </c>
      <c r="AD62" s="35">
        <v>239.7</v>
      </c>
      <c r="AE62" s="37">
        <v>2005</v>
      </c>
      <c r="AF62" s="37">
        <v>154</v>
      </c>
      <c r="AJ62" s="35">
        <v>2030</v>
      </c>
      <c r="AU62">
        <v>2029</v>
      </c>
      <c r="AV62">
        <v>1753.75</v>
      </c>
      <c r="BQ62" s="35"/>
      <c r="BR62" s="35">
        <v>1693.29</v>
      </c>
    </row>
    <row r="63" spans="1:70" ht="15" thickBot="1" x14ac:dyDescent="0.4">
      <c r="A63" s="1">
        <v>2006</v>
      </c>
      <c r="B63" s="30">
        <v>730100</v>
      </c>
      <c r="C63" s="31">
        <v>680742.06728303828</v>
      </c>
      <c r="O63" t="s">
        <v>27</v>
      </c>
      <c r="P63" t="s">
        <v>28</v>
      </c>
      <c r="Q63">
        <v>1941</v>
      </c>
      <c r="R63">
        <v>8.4600000000000009</v>
      </c>
      <c r="W63">
        <v>1930</v>
      </c>
      <c r="X63">
        <v>45888900</v>
      </c>
      <c r="Z63" s="55" t="s">
        <v>99</v>
      </c>
      <c r="AA63" s="56">
        <v>1881785</v>
      </c>
      <c r="AC63" s="35">
        <v>2006</v>
      </c>
      <c r="AD63" s="35">
        <v>238.3</v>
      </c>
      <c r="AE63" s="37">
        <v>2006</v>
      </c>
      <c r="AF63" s="37">
        <v>152.5</v>
      </c>
      <c r="AJ63" s="35">
        <v>2031</v>
      </c>
      <c r="AU63">
        <v>2030</v>
      </c>
      <c r="AV63">
        <v>1744.99</v>
      </c>
      <c r="BQ63" s="35"/>
      <c r="BR63" s="35">
        <v>1684.82</v>
      </c>
    </row>
    <row r="64" spans="1:70" ht="15" thickBot="1" x14ac:dyDescent="0.4">
      <c r="A64" s="1">
        <v>2007</v>
      </c>
      <c r="B64" s="30">
        <v>720100</v>
      </c>
      <c r="C64" s="31">
        <v>670222.95675600134</v>
      </c>
      <c r="O64" t="s">
        <v>27</v>
      </c>
      <c r="P64" t="s">
        <v>28</v>
      </c>
      <c r="Q64">
        <v>1942</v>
      </c>
      <c r="R64">
        <v>8.4700000000000006</v>
      </c>
      <c r="W64">
        <v>1931</v>
      </c>
      <c r="X64">
        <v>46073600</v>
      </c>
      <c r="Z64" s="55" t="s">
        <v>100</v>
      </c>
      <c r="AA64" s="56">
        <v>1931094</v>
      </c>
      <c r="AC64" s="35">
        <v>2007</v>
      </c>
      <c r="AD64" s="35">
        <v>234.9</v>
      </c>
      <c r="AE64" s="37">
        <v>2007</v>
      </c>
      <c r="AF64" s="37">
        <v>150</v>
      </c>
      <c r="AJ64" s="35">
        <v>2032</v>
      </c>
      <c r="AU64">
        <v>2031</v>
      </c>
      <c r="AV64">
        <v>1736.26</v>
      </c>
      <c r="BQ64" s="35"/>
      <c r="BR64" s="35">
        <v>1676.4</v>
      </c>
    </row>
    <row r="65" spans="1:70" ht="15" thickBot="1" x14ac:dyDescent="0.4">
      <c r="A65" s="1">
        <v>2008</v>
      </c>
      <c r="B65" s="30">
        <v>910100</v>
      </c>
      <c r="C65" s="31">
        <v>667898.10318654554</v>
      </c>
      <c r="O65" t="s">
        <v>27</v>
      </c>
      <c r="P65" t="s">
        <v>28</v>
      </c>
      <c r="Q65">
        <v>1943</v>
      </c>
      <c r="R65">
        <v>8.48</v>
      </c>
      <c r="W65">
        <v>1932</v>
      </c>
      <c r="X65">
        <v>46335000</v>
      </c>
      <c r="Z65" s="55" t="s">
        <v>101</v>
      </c>
      <c r="AA65" s="56">
        <v>1926735</v>
      </c>
      <c r="AC65" s="35">
        <v>2008</v>
      </c>
      <c r="AD65" s="35">
        <v>223.6</v>
      </c>
      <c r="AE65" s="37">
        <v>2008</v>
      </c>
      <c r="AF65" s="37">
        <v>148.5</v>
      </c>
      <c r="AJ65" s="35">
        <v>2033</v>
      </c>
      <c r="AU65">
        <v>2032</v>
      </c>
      <c r="AV65">
        <v>1727.58</v>
      </c>
      <c r="BQ65" s="35"/>
      <c r="BR65" s="35">
        <v>1668.01</v>
      </c>
    </row>
    <row r="66" spans="1:70" ht="15" thickBot="1" x14ac:dyDescent="0.4">
      <c r="A66" s="1">
        <v>2009</v>
      </c>
      <c r="B66" s="30">
        <v>700100</v>
      </c>
      <c r="C66" s="31">
        <v>629124.39892197994</v>
      </c>
      <c r="O66" t="s">
        <v>27</v>
      </c>
      <c r="P66" t="s">
        <v>28</v>
      </c>
      <c r="Q66">
        <v>1944</v>
      </c>
      <c r="R66">
        <v>8.48</v>
      </c>
      <c r="W66">
        <v>1933</v>
      </c>
      <c r="X66">
        <v>46520000</v>
      </c>
      <c r="Z66" s="55" t="s">
        <v>102</v>
      </c>
      <c r="AA66" s="56">
        <v>1837817</v>
      </c>
      <c r="AC66" s="35">
        <v>2009</v>
      </c>
      <c r="AD66" s="35">
        <v>212.5</v>
      </c>
      <c r="AE66" s="37">
        <v>2009</v>
      </c>
      <c r="AF66" s="37">
        <v>140</v>
      </c>
      <c r="AJ66" s="35">
        <v>2034</v>
      </c>
      <c r="AU66">
        <v>2033</v>
      </c>
      <c r="AV66">
        <v>1718.94</v>
      </c>
      <c r="BQ66" s="35"/>
      <c r="BR66" s="35">
        <v>1659.67</v>
      </c>
    </row>
    <row r="67" spans="1:70" ht="15" thickBot="1" x14ac:dyDescent="0.4">
      <c r="A67" s="1">
        <v>2010</v>
      </c>
      <c r="B67" s="30">
        <v>690100</v>
      </c>
      <c r="C67" s="31">
        <v>653678.24075496616</v>
      </c>
      <c r="O67" t="s">
        <v>27</v>
      </c>
      <c r="P67" t="s">
        <v>28</v>
      </c>
      <c r="Q67">
        <v>1945</v>
      </c>
      <c r="R67">
        <v>8.49</v>
      </c>
      <c r="W67">
        <v>1934</v>
      </c>
      <c r="X67">
        <v>46666000</v>
      </c>
      <c r="Z67" s="55" t="s">
        <v>103</v>
      </c>
      <c r="AA67" s="56">
        <v>1878960</v>
      </c>
      <c r="AC67" s="35">
        <v>2010</v>
      </c>
      <c r="AD67" s="35">
        <v>219.5</v>
      </c>
      <c r="AE67" s="37">
        <v>2010</v>
      </c>
      <c r="AF67" s="37">
        <v>142.5</v>
      </c>
      <c r="AJ67" s="35">
        <v>2035</v>
      </c>
      <c r="AU67">
        <v>2034</v>
      </c>
      <c r="AV67">
        <v>1710.35</v>
      </c>
      <c r="BQ67" s="35"/>
      <c r="BR67" s="35">
        <v>1651.37</v>
      </c>
    </row>
    <row r="68" spans="1:70" x14ac:dyDescent="0.35">
      <c r="A68" s="1">
        <v>2011</v>
      </c>
      <c r="B68" s="30">
        <v>680100</v>
      </c>
      <c r="C68" s="31">
        <v>606112.08813676529</v>
      </c>
      <c r="O68" t="s">
        <v>27</v>
      </c>
      <c r="P68" t="s">
        <v>28</v>
      </c>
      <c r="Q68">
        <v>1946</v>
      </c>
      <c r="R68">
        <v>8.49</v>
      </c>
      <c r="W68">
        <v>1935</v>
      </c>
      <c r="X68">
        <v>46868500</v>
      </c>
      <c r="Z68" s="55" t="s">
        <v>104</v>
      </c>
      <c r="AA68" s="56">
        <v>1900476</v>
      </c>
      <c r="AC68" s="35">
        <v>2011</v>
      </c>
      <c r="AD68" s="35">
        <v>223.4</v>
      </c>
      <c r="AE68" s="35">
        <v>2011</v>
      </c>
      <c r="AF68" s="35">
        <v>142</v>
      </c>
      <c r="AJ68" s="35">
        <v>2036</v>
      </c>
      <c r="AU68">
        <v>2035</v>
      </c>
      <c r="AV68">
        <v>1701.79</v>
      </c>
      <c r="BQ68" s="35"/>
      <c r="BR68" s="35">
        <v>1643.12</v>
      </c>
    </row>
    <row r="69" spans="1:70" x14ac:dyDescent="0.35">
      <c r="A69" s="1">
        <v>2012</v>
      </c>
      <c r="B69" s="30">
        <v>670100</v>
      </c>
      <c r="C69" s="31">
        <v>620162.64142686734</v>
      </c>
      <c r="O69" t="s">
        <v>27</v>
      </c>
      <c r="P69" t="s">
        <v>28</v>
      </c>
      <c r="Q69">
        <v>1947</v>
      </c>
      <c r="R69">
        <v>8.49</v>
      </c>
      <c r="W69">
        <v>1936</v>
      </c>
      <c r="X69">
        <v>47081300</v>
      </c>
      <c r="Z69" s="55" t="s">
        <v>105</v>
      </c>
      <c r="AA69" s="56">
        <v>1929229</v>
      </c>
      <c r="AC69" s="35">
        <v>2012</v>
      </c>
      <c r="AD69" s="35">
        <v>217.4</v>
      </c>
      <c r="AE69" s="35">
        <v>2012</v>
      </c>
      <c r="AF69" s="35">
        <v>144.5</v>
      </c>
      <c r="AJ69" s="35">
        <v>2037</v>
      </c>
      <c r="AU69">
        <v>2036</v>
      </c>
      <c r="AV69">
        <v>1693.29</v>
      </c>
      <c r="BQ69" s="35"/>
      <c r="BR69" s="35">
        <v>1634.9</v>
      </c>
    </row>
    <row r="70" spans="1:70" x14ac:dyDescent="0.35">
      <c r="A70" s="1">
        <v>2013</v>
      </c>
      <c r="B70" s="30">
        <v>660100</v>
      </c>
      <c r="C70" s="31">
        <v>625504.19651272392</v>
      </c>
      <c r="O70" t="s">
        <v>27</v>
      </c>
      <c r="P70" t="s">
        <v>28</v>
      </c>
      <c r="Q70">
        <v>1948</v>
      </c>
      <c r="R70">
        <v>8.49</v>
      </c>
      <c r="W70">
        <v>1937</v>
      </c>
      <c r="X70">
        <v>47288600</v>
      </c>
      <c r="Z70" s="55" t="s">
        <v>106</v>
      </c>
      <c r="AA70" s="56">
        <v>1963807</v>
      </c>
      <c r="AC70" s="35">
        <v>2013</v>
      </c>
      <c r="AD70" s="35">
        <v>212.1</v>
      </c>
      <c r="AE70" s="35">
        <v>2013</v>
      </c>
      <c r="AF70" s="35">
        <v>143.80000000000001</v>
      </c>
      <c r="AJ70" s="35">
        <v>2038</v>
      </c>
      <c r="AU70">
        <v>2037</v>
      </c>
      <c r="AV70">
        <v>1684.82</v>
      </c>
      <c r="BQ70" s="35"/>
      <c r="BR70" s="35">
        <v>1626.73</v>
      </c>
    </row>
    <row r="71" spans="1:70" x14ac:dyDescent="0.35">
      <c r="A71" s="1">
        <v>2014</v>
      </c>
      <c r="B71" s="30">
        <v>650100</v>
      </c>
      <c r="C71" s="31">
        <v>594267.13080840441</v>
      </c>
      <c r="O71" t="s">
        <v>27</v>
      </c>
      <c r="P71" t="s">
        <v>28</v>
      </c>
      <c r="Q71">
        <v>1949</v>
      </c>
      <c r="R71">
        <v>8.48</v>
      </c>
      <c r="W71">
        <v>1938</v>
      </c>
      <c r="X71">
        <v>47494100</v>
      </c>
      <c r="Z71" s="55" t="s">
        <v>107</v>
      </c>
      <c r="AA71" s="56">
        <v>2026566</v>
      </c>
      <c r="AC71" s="35">
        <v>2014</v>
      </c>
      <c r="AD71" s="35">
        <v>207.8</v>
      </c>
      <c r="AE71" s="35">
        <v>2014</v>
      </c>
      <c r="AF71" s="35">
        <v>140.69999999999999</v>
      </c>
      <c r="AJ71" s="35">
        <v>2039</v>
      </c>
      <c r="AU71">
        <v>2038</v>
      </c>
      <c r="AV71">
        <v>1676.4</v>
      </c>
      <c r="BQ71" s="35"/>
      <c r="BR71" s="35">
        <v>1618.59</v>
      </c>
    </row>
    <row r="72" spans="1:70" x14ac:dyDescent="0.35">
      <c r="A72" s="1">
        <v>2015</v>
      </c>
      <c r="B72" s="30">
        <v>640100</v>
      </c>
      <c r="C72" s="31">
        <v>600847.73579064792</v>
      </c>
      <c r="O72" t="s">
        <v>27</v>
      </c>
      <c r="P72" t="s">
        <v>28</v>
      </c>
      <c r="Q72">
        <v>1950</v>
      </c>
      <c r="R72">
        <v>8.4700000000000006</v>
      </c>
      <c r="W72">
        <v>1939</v>
      </c>
      <c r="X72">
        <v>47547700</v>
      </c>
      <c r="Z72" s="55" t="s">
        <v>108</v>
      </c>
      <c r="AA72" s="56">
        <v>2071561</v>
      </c>
      <c r="AC72" s="35">
        <v>2015</v>
      </c>
      <c r="AD72" s="35">
        <v>205</v>
      </c>
      <c r="AE72" s="35">
        <v>2015</v>
      </c>
      <c r="AF72" s="35">
        <v>142.1</v>
      </c>
      <c r="AJ72" s="35">
        <v>2040</v>
      </c>
      <c r="AU72">
        <v>2039</v>
      </c>
      <c r="AV72">
        <v>1668.01</v>
      </c>
      <c r="BQ72" s="35"/>
      <c r="BR72" s="35">
        <v>1610.5</v>
      </c>
    </row>
    <row r="73" spans="1:70" x14ac:dyDescent="0.35">
      <c r="A73" s="1">
        <v>2016</v>
      </c>
      <c r="B73" s="30">
        <v>630100</v>
      </c>
      <c r="C73" s="31">
        <v>609080.70158634207</v>
      </c>
      <c r="O73" t="s">
        <v>27</v>
      </c>
      <c r="P73" t="s">
        <v>28</v>
      </c>
      <c r="Q73">
        <v>1951</v>
      </c>
      <c r="R73">
        <v>8.4499999999999993</v>
      </c>
      <c r="W73">
        <v>1940</v>
      </c>
      <c r="X73">
        <v>46029200</v>
      </c>
      <c r="Z73" s="55" t="s">
        <v>109</v>
      </c>
      <c r="AA73" s="56">
        <v>2111357</v>
      </c>
      <c r="AC73" s="35">
        <v>2016</v>
      </c>
      <c r="AD73" s="35">
        <v>201.2</v>
      </c>
      <c r="AE73" s="35">
        <v>2016</v>
      </c>
      <c r="AF73" s="35">
        <v>142</v>
      </c>
      <c r="AJ73" s="35">
        <v>2041</v>
      </c>
      <c r="AU73">
        <v>2040</v>
      </c>
      <c r="AV73">
        <v>1659.67</v>
      </c>
      <c r="BQ73" s="35"/>
      <c r="BR73" s="35">
        <v>1602.45</v>
      </c>
    </row>
    <row r="74" spans="1:70" x14ac:dyDescent="0.35">
      <c r="A74" s="1">
        <v>2017</v>
      </c>
      <c r="B74" s="30">
        <v>620100</v>
      </c>
      <c r="C74" s="31">
        <v>610780.40556041501</v>
      </c>
      <c r="O74" t="s">
        <v>27</v>
      </c>
      <c r="P74" t="s">
        <v>28</v>
      </c>
      <c r="Q74">
        <v>1952</v>
      </c>
      <c r="R74">
        <v>8.43</v>
      </c>
      <c r="W74">
        <v>1941</v>
      </c>
      <c r="X74">
        <v>44870400</v>
      </c>
      <c r="Z74" s="55" t="s">
        <v>110</v>
      </c>
      <c r="AA74" s="56">
        <v>2167415</v>
      </c>
      <c r="AC74" s="35">
        <v>2017</v>
      </c>
      <c r="AD74" s="35">
        <v>197.8</v>
      </c>
      <c r="AE74" s="35">
        <v>2017</v>
      </c>
      <c r="AF74" s="35">
        <v>141.5</v>
      </c>
      <c r="AJ74" s="35">
        <v>2042</v>
      </c>
      <c r="AU74">
        <v>2041</v>
      </c>
      <c r="AV74">
        <v>1651.37</v>
      </c>
      <c r="BQ74" s="35"/>
      <c r="BR74" s="35">
        <v>1594.44</v>
      </c>
    </row>
    <row r="75" spans="1:70" x14ac:dyDescent="0.35">
      <c r="A75" s="1">
        <v>2018</v>
      </c>
      <c r="B75" s="30">
        <v>610100</v>
      </c>
      <c r="C75" s="31">
        <v>617635.40534428158</v>
      </c>
      <c r="O75" t="s">
        <v>27</v>
      </c>
      <c r="P75" t="s">
        <v>28</v>
      </c>
      <c r="Q75">
        <v>1953</v>
      </c>
      <c r="R75">
        <v>8.42</v>
      </c>
      <c r="W75">
        <v>1942</v>
      </c>
      <c r="X75">
        <v>44323000</v>
      </c>
      <c r="Z75" s="55" t="s">
        <v>111</v>
      </c>
      <c r="AA75" s="56">
        <v>2197841</v>
      </c>
      <c r="AC75" s="35">
        <v>2018</v>
      </c>
      <c r="AD75" s="35">
        <v>196.2</v>
      </c>
      <c r="AE75" s="35">
        <v>2018</v>
      </c>
      <c r="AF75" s="35">
        <v>142</v>
      </c>
      <c r="AJ75" s="35">
        <v>2043</v>
      </c>
      <c r="AU75">
        <v>2042</v>
      </c>
      <c r="AV75">
        <v>1643.12</v>
      </c>
      <c r="BQ75" s="35"/>
      <c r="BR75" s="35">
        <v>1586.46</v>
      </c>
    </row>
    <row r="76" spans="1:70" x14ac:dyDescent="0.35">
      <c r="A76" s="1">
        <v>2019</v>
      </c>
      <c r="B76" s="30">
        <v>500100</v>
      </c>
      <c r="C76" s="31">
        <v>606855.92182343593</v>
      </c>
      <c r="O76" t="s">
        <v>27</v>
      </c>
      <c r="P76" t="s">
        <v>28</v>
      </c>
      <c r="Q76">
        <v>1954</v>
      </c>
      <c r="R76">
        <v>8.4</v>
      </c>
      <c r="W76">
        <v>1943</v>
      </c>
      <c r="X76">
        <v>48261600</v>
      </c>
      <c r="Z76" s="55" t="s">
        <v>112</v>
      </c>
      <c r="AA76" s="56">
        <v>2233921</v>
      </c>
      <c r="AC76" s="35">
        <v>2019</v>
      </c>
      <c r="AD76" s="35">
        <v>191.9</v>
      </c>
      <c r="AE76" s="35">
        <v>2019</v>
      </c>
      <c r="AF76" s="35">
        <v>142</v>
      </c>
      <c r="AJ76" s="35">
        <v>2044</v>
      </c>
      <c r="AU76">
        <v>2043</v>
      </c>
      <c r="AV76">
        <v>1634.9</v>
      </c>
      <c r="BQ76" s="35"/>
      <c r="BR76" s="35">
        <v>1578.53</v>
      </c>
    </row>
    <row r="77" spans="1:70" x14ac:dyDescent="0.35">
      <c r="A77" s="1">
        <v>2020</v>
      </c>
      <c r="B77" s="30">
        <v>590100</v>
      </c>
      <c r="C77" s="31">
        <v>534297.82521977043</v>
      </c>
      <c r="O77" t="s">
        <v>27</v>
      </c>
      <c r="P77" t="s">
        <v>28</v>
      </c>
      <c r="Q77">
        <v>1955</v>
      </c>
      <c r="R77">
        <v>8.39</v>
      </c>
      <c r="W77">
        <v>1944</v>
      </c>
      <c r="X77">
        <v>48459600</v>
      </c>
      <c r="Z77" s="55" t="s">
        <v>113</v>
      </c>
      <c r="AA77" s="56">
        <v>2002489</v>
      </c>
      <c r="AC77" s="35">
        <v>2020</v>
      </c>
      <c r="AD77" s="35">
        <v>170.9</v>
      </c>
      <c r="AE77" s="35">
        <v>2020</v>
      </c>
      <c r="AF77" s="35">
        <v>122</v>
      </c>
      <c r="AJ77" s="35">
        <v>2045</v>
      </c>
      <c r="AU77">
        <v>2044</v>
      </c>
      <c r="AV77">
        <v>1626.73</v>
      </c>
    </row>
    <row r="78" spans="1:70" x14ac:dyDescent="0.35">
      <c r="A78" s="1">
        <v>2021</v>
      </c>
      <c r="B78" s="30">
        <v>580100</v>
      </c>
      <c r="C78" s="31">
        <v>559412.52962472406</v>
      </c>
      <c r="O78" t="s">
        <v>27</v>
      </c>
      <c r="P78" t="s">
        <v>28</v>
      </c>
      <c r="Q78">
        <v>1956</v>
      </c>
      <c r="R78">
        <v>8.3800000000000008</v>
      </c>
      <c r="W78">
        <v>1945</v>
      </c>
      <c r="X78">
        <v>48668900</v>
      </c>
      <c r="Z78" s="55" t="s">
        <v>114</v>
      </c>
      <c r="AA78" s="56">
        <v>2176203</v>
      </c>
      <c r="AC78" s="35">
        <v>2021</v>
      </c>
      <c r="AD78" s="35">
        <v>191.7</v>
      </c>
      <c r="AE78" s="35">
        <v>2021</v>
      </c>
      <c r="AF78" s="35">
        <v>145</v>
      </c>
      <c r="AJ78" s="35">
        <v>2046</v>
      </c>
      <c r="AU78">
        <v>2045</v>
      </c>
      <c r="AV78">
        <v>1618.59</v>
      </c>
    </row>
    <row r="79" spans="1:70" x14ac:dyDescent="0.35">
      <c r="A79" s="1">
        <v>2022</v>
      </c>
      <c r="B79" s="30">
        <v>570100</v>
      </c>
      <c r="C79" s="31">
        <v>550923.21569273097</v>
      </c>
      <c r="O79" t="s">
        <v>27</v>
      </c>
      <c r="P79" t="s">
        <v>28</v>
      </c>
      <c r="Q79">
        <v>1957</v>
      </c>
      <c r="R79">
        <v>8.36</v>
      </c>
      <c r="W79">
        <v>1946</v>
      </c>
      <c r="X79">
        <v>48987800</v>
      </c>
      <c r="Z79" s="55" t="s">
        <v>115</v>
      </c>
      <c r="AA79" s="56">
        <v>2270764</v>
      </c>
      <c r="AC79" s="35">
        <v>2022</v>
      </c>
      <c r="AD79" s="35">
        <v>190.4</v>
      </c>
      <c r="AE79" s="35">
        <v>2022</v>
      </c>
      <c r="AF79" s="35">
        <v>125.8</v>
      </c>
      <c r="AJ79" s="35">
        <v>2047</v>
      </c>
      <c r="AU79">
        <v>2046</v>
      </c>
      <c r="AV79">
        <v>1610.5</v>
      </c>
    </row>
    <row r="80" spans="1:70" x14ac:dyDescent="0.35">
      <c r="A80" s="1">
        <v>2023</v>
      </c>
      <c r="B80" s="30">
        <v>560100</v>
      </c>
      <c r="C80" s="31">
        <v>508132.96979801828</v>
      </c>
      <c r="O80" t="s">
        <v>27</v>
      </c>
      <c r="P80" t="s">
        <v>28</v>
      </c>
      <c r="Q80">
        <v>1958</v>
      </c>
      <c r="R80">
        <v>8.35</v>
      </c>
      <c r="W80">
        <v>1947</v>
      </c>
      <c r="X80">
        <v>49538700</v>
      </c>
      <c r="Z80" s="55" t="s">
        <v>116</v>
      </c>
      <c r="AA80" s="56">
        <v>2273126</v>
      </c>
      <c r="AC80" s="35">
        <v>2023</v>
      </c>
      <c r="AD80" s="35">
        <v>189.2</v>
      </c>
      <c r="AE80" s="35">
        <v>2023</v>
      </c>
      <c r="AF80" s="35">
        <v>125</v>
      </c>
      <c r="AJ80" s="35">
        <v>2048</v>
      </c>
      <c r="AU80">
        <v>2047</v>
      </c>
      <c r="AV80">
        <v>1602.45</v>
      </c>
    </row>
    <row r="81" spans="15:48" x14ac:dyDescent="0.35">
      <c r="O81" t="s">
        <v>27</v>
      </c>
      <c r="P81" t="s">
        <v>28</v>
      </c>
      <c r="Q81">
        <v>1959</v>
      </c>
      <c r="R81">
        <v>8.33</v>
      </c>
      <c r="W81">
        <v>1948</v>
      </c>
      <c r="X81">
        <v>50033200</v>
      </c>
      <c r="AC81" s="35">
        <v>2024</v>
      </c>
      <c r="AD81" s="35">
        <v>187.9</v>
      </c>
      <c r="AJ81" s="35">
        <v>2049</v>
      </c>
      <c r="AU81">
        <v>2048</v>
      </c>
      <c r="AV81">
        <v>1594.44</v>
      </c>
    </row>
    <row r="82" spans="15:48" x14ac:dyDescent="0.35">
      <c r="O82" t="s">
        <v>27</v>
      </c>
      <c r="P82" t="s">
        <v>28</v>
      </c>
      <c r="Q82">
        <v>1960</v>
      </c>
      <c r="R82">
        <v>8.31</v>
      </c>
      <c r="W82">
        <v>1949</v>
      </c>
      <c r="X82">
        <v>50331000</v>
      </c>
      <c r="AC82" s="35">
        <v>2025</v>
      </c>
      <c r="AD82" s="35">
        <v>186.7</v>
      </c>
      <c r="AJ82" s="35">
        <v>2050</v>
      </c>
      <c r="AU82">
        <v>2049</v>
      </c>
      <c r="AV82">
        <v>1586.46</v>
      </c>
    </row>
    <row r="83" spans="15:48" x14ac:dyDescent="0.35">
      <c r="O83" t="s">
        <v>27</v>
      </c>
      <c r="P83" t="s">
        <v>28</v>
      </c>
      <c r="Q83">
        <v>1961</v>
      </c>
      <c r="R83">
        <v>8.2899999999999991</v>
      </c>
      <c r="W83">
        <v>1950</v>
      </c>
      <c r="X83">
        <v>50381500</v>
      </c>
      <c r="AC83" s="35">
        <v>2026</v>
      </c>
      <c r="AD83" s="35">
        <v>185.4</v>
      </c>
      <c r="AU83">
        <v>2050</v>
      </c>
      <c r="AV83">
        <v>1578.53</v>
      </c>
    </row>
    <row r="84" spans="15:48" x14ac:dyDescent="0.35">
      <c r="O84" t="s">
        <v>27</v>
      </c>
      <c r="P84" t="s">
        <v>28</v>
      </c>
      <c r="Q84">
        <v>1962</v>
      </c>
      <c r="R84">
        <v>8.2799999999999994</v>
      </c>
      <c r="W84">
        <v>1951</v>
      </c>
      <c r="X84">
        <v>50286900</v>
      </c>
      <c r="AC84" s="35">
        <v>2027</v>
      </c>
      <c r="AD84" s="35">
        <v>184.2</v>
      </c>
    </row>
    <row r="85" spans="15:48" x14ac:dyDescent="0.35">
      <c r="O85" t="s">
        <v>27</v>
      </c>
      <c r="P85" t="s">
        <v>28</v>
      </c>
      <c r="Q85">
        <v>1963</v>
      </c>
      <c r="R85">
        <v>8.26</v>
      </c>
      <c r="W85">
        <v>1952</v>
      </c>
      <c r="X85">
        <v>50429200</v>
      </c>
      <c r="AC85" s="35">
        <v>2028</v>
      </c>
      <c r="AD85" s="35">
        <v>182.9</v>
      </c>
    </row>
    <row r="86" spans="15:48" x14ac:dyDescent="0.35">
      <c r="O86" t="s">
        <v>27</v>
      </c>
      <c r="P86" t="s">
        <v>28</v>
      </c>
      <c r="Q86">
        <v>1964</v>
      </c>
      <c r="R86">
        <v>8.26</v>
      </c>
      <c r="W86">
        <v>1953</v>
      </c>
      <c r="X86">
        <v>50592900</v>
      </c>
      <c r="AC86" s="35">
        <v>2029</v>
      </c>
      <c r="AD86" s="35">
        <v>181.7</v>
      </c>
    </row>
    <row r="87" spans="15:48" x14ac:dyDescent="0.35">
      <c r="O87" t="s">
        <v>27</v>
      </c>
      <c r="P87" t="s">
        <v>28</v>
      </c>
      <c r="Q87">
        <v>1965</v>
      </c>
      <c r="R87">
        <v>8.26</v>
      </c>
      <c r="W87">
        <v>1954</v>
      </c>
      <c r="X87">
        <v>50764900</v>
      </c>
      <c r="AC87" s="35">
        <v>2030</v>
      </c>
      <c r="AD87" s="35">
        <v>180.4</v>
      </c>
    </row>
    <row r="88" spans="15:48" x14ac:dyDescent="0.35">
      <c r="O88" t="s">
        <v>27</v>
      </c>
      <c r="P88" t="s">
        <v>28</v>
      </c>
      <c r="Q88">
        <v>1966</v>
      </c>
      <c r="R88">
        <v>8.26</v>
      </c>
      <c r="W88">
        <v>1955</v>
      </c>
      <c r="X88">
        <v>50946100</v>
      </c>
      <c r="AC88" s="35">
        <v>2031</v>
      </c>
      <c r="AD88" s="35">
        <v>179.2</v>
      </c>
    </row>
    <row r="89" spans="15:48" x14ac:dyDescent="0.35">
      <c r="O89" t="s">
        <v>27</v>
      </c>
      <c r="P89" t="s">
        <v>28</v>
      </c>
      <c r="Q89">
        <v>1967</v>
      </c>
      <c r="R89">
        <v>8.27</v>
      </c>
      <c r="W89">
        <v>1956</v>
      </c>
      <c r="X89">
        <v>51183500</v>
      </c>
      <c r="AC89" s="35">
        <v>2032</v>
      </c>
      <c r="AD89" s="35">
        <v>177.9</v>
      </c>
    </row>
    <row r="90" spans="15:48" x14ac:dyDescent="0.35">
      <c r="O90" t="s">
        <v>27</v>
      </c>
      <c r="P90" t="s">
        <v>28</v>
      </c>
      <c r="Q90">
        <v>1968</v>
      </c>
      <c r="R90">
        <v>8.27</v>
      </c>
      <c r="W90">
        <v>1957</v>
      </c>
      <c r="X90">
        <v>51430200</v>
      </c>
      <c r="AC90" s="35">
        <v>2033</v>
      </c>
      <c r="AD90" s="35">
        <v>176.7</v>
      </c>
    </row>
    <row r="91" spans="15:48" x14ac:dyDescent="0.35">
      <c r="O91" t="s">
        <v>27</v>
      </c>
      <c r="P91" t="s">
        <v>28</v>
      </c>
      <c r="Q91">
        <v>1969</v>
      </c>
      <c r="R91">
        <v>8.2799999999999994</v>
      </c>
      <c r="W91">
        <v>1958</v>
      </c>
      <c r="X91">
        <v>51652500</v>
      </c>
      <c r="AC91" s="35">
        <v>2034</v>
      </c>
      <c r="AD91" s="35">
        <v>175.4</v>
      </c>
    </row>
    <row r="92" spans="15:48" x14ac:dyDescent="0.35">
      <c r="O92" t="s">
        <v>27</v>
      </c>
      <c r="P92" t="s">
        <v>28</v>
      </c>
      <c r="Q92">
        <v>1970</v>
      </c>
      <c r="R92">
        <v>8.2899999999999991</v>
      </c>
      <c r="W92">
        <v>1959</v>
      </c>
      <c r="X92">
        <v>51956300</v>
      </c>
      <c r="AC92" s="35">
        <v>2035</v>
      </c>
      <c r="AD92" s="35">
        <v>174.2</v>
      </c>
    </row>
    <row r="93" spans="15:48" x14ac:dyDescent="0.35">
      <c r="O93" t="s">
        <v>27</v>
      </c>
      <c r="P93" t="s">
        <v>28</v>
      </c>
      <c r="Q93">
        <v>1971</v>
      </c>
      <c r="R93">
        <v>8.3000000000000007</v>
      </c>
      <c r="W93">
        <v>1960</v>
      </c>
      <c r="X93">
        <v>52372500</v>
      </c>
      <c r="AC93" s="35">
        <v>2036</v>
      </c>
      <c r="AD93" s="35">
        <v>172.9</v>
      </c>
    </row>
    <row r="94" spans="15:48" x14ac:dyDescent="0.35">
      <c r="O94" t="s">
        <v>27</v>
      </c>
      <c r="P94" t="s">
        <v>28</v>
      </c>
      <c r="Q94">
        <v>1972</v>
      </c>
      <c r="R94">
        <v>8.3000000000000007</v>
      </c>
      <c r="W94">
        <v>1961</v>
      </c>
      <c r="X94">
        <v>52807400</v>
      </c>
      <c r="AC94" s="35">
        <v>2037</v>
      </c>
      <c r="AD94" s="35">
        <v>171.7</v>
      </c>
    </row>
    <row r="95" spans="15:48" x14ac:dyDescent="0.35">
      <c r="O95" t="s">
        <v>27</v>
      </c>
      <c r="P95" t="s">
        <v>28</v>
      </c>
      <c r="Q95">
        <v>1973</v>
      </c>
      <c r="R95">
        <v>8.3000000000000007</v>
      </c>
      <c r="W95">
        <v>1962</v>
      </c>
      <c r="X95">
        <v>53291800</v>
      </c>
      <c r="AC95" s="35">
        <v>2038</v>
      </c>
      <c r="AD95" s="35">
        <v>170.4</v>
      </c>
    </row>
    <row r="96" spans="15:48" x14ac:dyDescent="0.35">
      <c r="O96" t="s">
        <v>27</v>
      </c>
      <c r="P96" t="s">
        <v>28</v>
      </c>
      <c r="Q96">
        <v>1974</v>
      </c>
      <c r="R96">
        <v>8.3000000000000007</v>
      </c>
      <c r="W96">
        <v>1963</v>
      </c>
      <c r="X96">
        <v>53624900</v>
      </c>
      <c r="AC96" s="35">
        <v>2039</v>
      </c>
      <c r="AD96" s="35">
        <v>169.2</v>
      </c>
    </row>
    <row r="97" spans="15:30" x14ac:dyDescent="0.35">
      <c r="O97" t="s">
        <v>27</v>
      </c>
      <c r="P97" t="s">
        <v>28</v>
      </c>
      <c r="Q97">
        <v>1975</v>
      </c>
      <c r="R97">
        <v>8.31</v>
      </c>
      <c r="W97">
        <v>1964</v>
      </c>
      <c r="X97">
        <v>53990800</v>
      </c>
      <c r="AC97" s="35">
        <v>2040</v>
      </c>
      <c r="AD97" s="35">
        <v>167.9</v>
      </c>
    </row>
    <row r="98" spans="15:30" x14ac:dyDescent="0.35">
      <c r="O98" t="s">
        <v>27</v>
      </c>
      <c r="P98" t="s">
        <v>28</v>
      </c>
      <c r="Q98">
        <v>1976</v>
      </c>
      <c r="R98">
        <v>8.32</v>
      </c>
      <c r="W98">
        <v>1965</v>
      </c>
      <c r="X98">
        <v>54349500</v>
      </c>
      <c r="AC98" s="35">
        <v>2041</v>
      </c>
      <c r="AD98" s="35">
        <v>166.7</v>
      </c>
    </row>
    <row r="99" spans="15:30" x14ac:dyDescent="0.35">
      <c r="O99" t="s">
        <v>27</v>
      </c>
      <c r="P99" t="s">
        <v>28</v>
      </c>
      <c r="Q99">
        <v>1977</v>
      </c>
      <c r="R99">
        <v>8.33</v>
      </c>
      <c r="W99">
        <v>1966</v>
      </c>
      <c r="X99">
        <v>54642700</v>
      </c>
      <c r="AC99" s="35">
        <v>2042</v>
      </c>
      <c r="AD99" s="35">
        <v>165.4</v>
      </c>
    </row>
    <row r="100" spans="15:30" x14ac:dyDescent="0.35">
      <c r="O100" t="s">
        <v>27</v>
      </c>
      <c r="P100" t="s">
        <v>28</v>
      </c>
      <c r="Q100">
        <v>1978</v>
      </c>
      <c r="R100">
        <v>8.34</v>
      </c>
      <c r="W100">
        <v>1967</v>
      </c>
      <c r="X100">
        <v>54959000</v>
      </c>
      <c r="AC100" s="35">
        <v>2043</v>
      </c>
      <c r="AD100" s="35">
        <v>164.2</v>
      </c>
    </row>
    <row r="101" spans="15:30" x14ac:dyDescent="0.35">
      <c r="O101" t="s">
        <v>27</v>
      </c>
      <c r="P101" t="s">
        <v>28</v>
      </c>
      <c r="Q101">
        <v>1979</v>
      </c>
      <c r="R101">
        <v>8.35</v>
      </c>
      <c r="W101">
        <v>1968</v>
      </c>
      <c r="X101">
        <v>55213500</v>
      </c>
      <c r="AC101" s="35">
        <v>2044</v>
      </c>
      <c r="AD101" s="35">
        <v>162.9</v>
      </c>
    </row>
    <row r="102" spans="15:30" x14ac:dyDescent="0.35">
      <c r="O102" t="s">
        <v>27</v>
      </c>
      <c r="P102" t="s">
        <v>28</v>
      </c>
      <c r="Q102">
        <v>1980</v>
      </c>
      <c r="R102">
        <v>8.36</v>
      </c>
      <c r="W102">
        <v>1969</v>
      </c>
      <c r="X102">
        <v>55460600</v>
      </c>
      <c r="AC102" s="35">
        <v>2045</v>
      </c>
      <c r="AD102" s="35">
        <v>161.69999999999999</v>
      </c>
    </row>
    <row r="103" spans="15:30" x14ac:dyDescent="0.35">
      <c r="O103" t="s">
        <v>27</v>
      </c>
      <c r="P103" t="s">
        <v>28</v>
      </c>
      <c r="Q103">
        <v>1981</v>
      </c>
      <c r="R103">
        <v>8.3800000000000008</v>
      </c>
      <c r="W103">
        <v>1970</v>
      </c>
      <c r="X103">
        <v>55632200</v>
      </c>
      <c r="AC103" s="35">
        <v>2046</v>
      </c>
      <c r="AD103" s="35">
        <v>160.4</v>
      </c>
    </row>
    <row r="104" spans="15:30" x14ac:dyDescent="0.35">
      <c r="O104" t="s">
        <v>27</v>
      </c>
      <c r="P104" t="s">
        <v>28</v>
      </c>
      <c r="Q104">
        <v>1982</v>
      </c>
      <c r="R104">
        <v>8.4</v>
      </c>
      <c r="W104">
        <v>1971</v>
      </c>
      <c r="X104">
        <v>55928000</v>
      </c>
      <c r="AC104" s="35">
        <v>2047</v>
      </c>
      <c r="AD104" s="35">
        <v>159.19999999999999</v>
      </c>
    </row>
    <row r="105" spans="15:30" x14ac:dyDescent="0.35">
      <c r="O105" t="s">
        <v>27</v>
      </c>
      <c r="P105" t="s">
        <v>28</v>
      </c>
      <c r="Q105">
        <v>1983</v>
      </c>
      <c r="R105">
        <v>8.42</v>
      </c>
      <c r="W105">
        <v>1972</v>
      </c>
      <c r="X105">
        <v>56096700</v>
      </c>
      <c r="AC105" s="35">
        <v>2048</v>
      </c>
      <c r="AD105" s="35">
        <v>157.9</v>
      </c>
    </row>
    <row r="106" spans="15:30" x14ac:dyDescent="0.35">
      <c r="O106" t="s">
        <v>27</v>
      </c>
      <c r="P106" t="s">
        <v>28</v>
      </c>
      <c r="Q106">
        <v>1984</v>
      </c>
      <c r="R106">
        <v>8.44</v>
      </c>
      <c r="W106">
        <v>1973</v>
      </c>
      <c r="X106">
        <v>56222900</v>
      </c>
      <c r="AC106" s="35">
        <v>2049</v>
      </c>
      <c r="AD106" s="35">
        <v>156.69999999999999</v>
      </c>
    </row>
    <row r="107" spans="15:30" x14ac:dyDescent="0.35">
      <c r="O107" t="s">
        <v>27</v>
      </c>
      <c r="P107" t="s">
        <v>28</v>
      </c>
      <c r="Q107">
        <v>1985</v>
      </c>
      <c r="R107">
        <v>8.4600000000000009</v>
      </c>
      <c r="W107">
        <v>1974</v>
      </c>
      <c r="X107">
        <v>56235600</v>
      </c>
      <c r="AC107" s="35">
        <v>2050</v>
      </c>
      <c r="AD107" s="35">
        <v>155.4</v>
      </c>
    </row>
    <row r="108" spans="15:30" x14ac:dyDescent="0.35">
      <c r="O108" t="s">
        <v>27</v>
      </c>
      <c r="P108" t="s">
        <v>28</v>
      </c>
      <c r="Q108">
        <v>1986</v>
      </c>
      <c r="R108">
        <v>8.49</v>
      </c>
      <c r="W108">
        <v>1975</v>
      </c>
      <c r="X108">
        <v>56225700</v>
      </c>
    </row>
    <row r="109" spans="15:30" x14ac:dyDescent="0.35">
      <c r="O109" t="s">
        <v>27</v>
      </c>
      <c r="P109" t="s">
        <v>28</v>
      </c>
      <c r="Q109">
        <v>1987</v>
      </c>
      <c r="R109">
        <v>8.52</v>
      </c>
      <c r="W109">
        <v>1976</v>
      </c>
      <c r="X109">
        <v>56216100</v>
      </c>
    </row>
    <row r="110" spans="15:30" x14ac:dyDescent="0.35">
      <c r="O110" t="s">
        <v>27</v>
      </c>
      <c r="P110" t="s">
        <v>28</v>
      </c>
      <c r="Q110">
        <v>1988</v>
      </c>
      <c r="R110">
        <v>8.57</v>
      </c>
      <c r="W110">
        <v>1977</v>
      </c>
      <c r="X110">
        <v>56189900</v>
      </c>
    </row>
    <row r="111" spans="15:30" x14ac:dyDescent="0.35">
      <c r="O111" t="s">
        <v>27</v>
      </c>
      <c r="P111" t="s">
        <v>28</v>
      </c>
      <c r="Q111">
        <v>1989</v>
      </c>
      <c r="R111">
        <v>8.6199999999999992</v>
      </c>
      <c r="W111">
        <v>1978</v>
      </c>
      <c r="X111">
        <v>56178000</v>
      </c>
    </row>
    <row r="112" spans="15:30" x14ac:dyDescent="0.35">
      <c r="O112" t="s">
        <v>27</v>
      </c>
      <c r="P112" t="s">
        <v>28</v>
      </c>
      <c r="Q112">
        <v>1990</v>
      </c>
      <c r="R112">
        <v>8.66</v>
      </c>
      <c r="W112">
        <v>1979</v>
      </c>
      <c r="X112">
        <v>56240100</v>
      </c>
    </row>
    <row r="113" spans="15:24" x14ac:dyDescent="0.35">
      <c r="O113" t="s">
        <v>27</v>
      </c>
      <c r="P113" t="s">
        <v>28</v>
      </c>
      <c r="Q113">
        <v>1991</v>
      </c>
      <c r="R113">
        <v>8.6999999999999993</v>
      </c>
      <c r="W113">
        <v>1980</v>
      </c>
      <c r="X113">
        <v>56329700</v>
      </c>
    </row>
    <row r="114" spans="15:24" x14ac:dyDescent="0.35">
      <c r="O114" t="s">
        <v>27</v>
      </c>
      <c r="P114" t="s">
        <v>28</v>
      </c>
      <c r="Q114">
        <v>1992</v>
      </c>
      <c r="R114">
        <v>8.75</v>
      </c>
      <c r="W114">
        <v>1981</v>
      </c>
      <c r="X114">
        <v>56357500</v>
      </c>
    </row>
    <row r="115" spans="15:24" x14ac:dyDescent="0.35">
      <c r="O115" t="s">
        <v>27</v>
      </c>
      <c r="P115" t="s">
        <v>28</v>
      </c>
      <c r="Q115">
        <v>1993</v>
      </c>
      <c r="R115">
        <v>8.8000000000000007</v>
      </c>
      <c r="W115">
        <v>1982</v>
      </c>
      <c r="X115">
        <v>56290700</v>
      </c>
    </row>
    <row r="116" spans="15:24" x14ac:dyDescent="0.35">
      <c r="O116" t="s">
        <v>27</v>
      </c>
      <c r="P116" t="s">
        <v>28</v>
      </c>
      <c r="Q116">
        <v>1994</v>
      </c>
      <c r="R116">
        <v>8.85</v>
      </c>
      <c r="W116">
        <v>1983</v>
      </c>
      <c r="X116">
        <v>56315700</v>
      </c>
    </row>
    <row r="117" spans="15:24" x14ac:dyDescent="0.35">
      <c r="O117" t="s">
        <v>27</v>
      </c>
      <c r="P117" t="s">
        <v>28</v>
      </c>
      <c r="Q117">
        <v>1995</v>
      </c>
      <c r="R117">
        <v>8.9</v>
      </c>
      <c r="W117">
        <v>1984</v>
      </c>
      <c r="X117">
        <v>56409300</v>
      </c>
    </row>
    <row r="118" spans="15:24" x14ac:dyDescent="0.35">
      <c r="O118" t="s">
        <v>27</v>
      </c>
      <c r="P118" t="s">
        <v>28</v>
      </c>
      <c r="Q118">
        <v>1996</v>
      </c>
      <c r="R118">
        <v>8.94</v>
      </c>
      <c r="W118">
        <v>1985</v>
      </c>
      <c r="X118">
        <v>56554000</v>
      </c>
    </row>
    <row r="119" spans="15:24" x14ac:dyDescent="0.35">
      <c r="O119" t="s">
        <v>27</v>
      </c>
      <c r="P119" t="s">
        <v>28</v>
      </c>
      <c r="Q119">
        <v>1997</v>
      </c>
      <c r="R119">
        <v>8.98</v>
      </c>
      <c r="W119">
        <v>1986</v>
      </c>
      <c r="X119">
        <v>56683800</v>
      </c>
    </row>
    <row r="120" spans="15:24" x14ac:dyDescent="0.35">
      <c r="O120" t="s">
        <v>27</v>
      </c>
      <c r="P120" t="s">
        <v>28</v>
      </c>
      <c r="Q120">
        <v>1998</v>
      </c>
      <c r="R120">
        <v>9.02</v>
      </c>
      <c r="W120">
        <v>1987</v>
      </c>
      <c r="X120">
        <v>56804000</v>
      </c>
    </row>
    <row r="121" spans="15:24" x14ac:dyDescent="0.35">
      <c r="O121" t="s">
        <v>27</v>
      </c>
      <c r="P121" t="s">
        <v>28</v>
      </c>
      <c r="Q121">
        <v>1999</v>
      </c>
      <c r="R121">
        <v>9.0500000000000007</v>
      </c>
      <c r="W121">
        <v>1988</v>
      </c>
      <c r="X121">
        <v>56916400</v>
      </c>
    </row>
    <row r="122" spans="15:24" x14ac:dyDescent="0.35">
      <c r="O122" t="s">
        <v>27</v>
      </c>
      <c r="P122" t="s">
        <v>28</v>
      </c>
      <c r="Q122">
        <v>2000</v>
      </c>
      <c r="R122">
        <v>9.09</v>
      </c>
      <c r="W122">
        <v>1989</v>
      </c>
      <c r="X122">
        <v>57076500</v>
      </c>
    </row>
    <row r="123" spans="15:24" x14ac:dyDescent="0.35">
      <c r="O123" t="s">
        <v>27</v>
      </c>
      <c r="P123" t="s">
        <v>28</v>
      </c>
      <c r="Q123">
        <v>2001</v>
      </c>
      <c r="R123">
        <v>9.1199999999999992</v>
      </c>
      <c r="W123">
        <v>1990</v>
      </c>
      <c r="X123">
        <v>57237500</v>
      </c>
    </row>
    <row r="124" spans="15:24" x14ac:dyDescent="0.35">
      <c r="O124" t="s">
        <v>27</v>
      </c>
      <c r="P124" t="s">
        <v>28</v>
      </c>
      <c r="Q124">
        <v>2002</v>
      </c>
      <c r="R124">
        <v>9.14</v>
      </c>
      <c r="W124">
        <v>1991</v>
      </c>
      <c r="X124">
        <v>57438700</v>
      </c>
    </row>
    <row r="125" spans="15:24" x14ac:dyDescent="0.35">
      <c r="O125" t="s">
        <v>27</v>
      </c>
      <c r="P125" t="s">
        <v>28</v>
      </c>
      <c r="Q125">
        <v>2003</v>
      </c>
      <c r="R125">
        <v>9.16</v>
      </c>
      <c r="W125">
        <v>1992</v>
      </c>
      <c r="X125">
        <v>57584500</v>
      </c>
    </row>
    <row r="126" spans="15:24" x14ac:dyDescent="0.35">
      <c r="O126" t="s">
        <v>27</v>
      </c>
      <c r="P126" t="s">
        <v>28</v>
      </c>
      <c r="Q126">
        <v>2004</v>
      </c>
      <c r="R126">
        <v>9.17</v>
      </c>
      <c r="W126">
        <v>1993</v>
      </c>
      <c r="X126">
        <v>57713900</v>
      </c>
    </row>
    <row r="127" spans="15:24" x14ac:dyDescent="0.35">
      <c r="O127" t="s">
        <v>27</v>
      </c>
      <c r="P127" t="s">
        <v>28</v>
      </c>
      <c r="Q127">
        <v>2005</v>
      </c>
      <c r="R127">
        <v>9.19</v>
      </c>
      <c r="W127">
        <v>1994</v>
      </c>
      <c r="X127">
        <v>57862100</v>
      </c>
    </row>
    <row r="128" spans="15:24" x14ac:dyDescent="0.35">
      <c r="O128" t="s">
        <v>27</v>
      </c>
      <c r="P128" t="s">
        <v>28</v>
      </c>
      <c r="Q128">
        <v>2006</v>
      </c>
      <c r="R128">
        <v>9.1999999999999993</v>
      </c>
      <c r="W128">
        <v>1995</v>
      </c>
      <c r="X128">
        <v>58024800</v>
      </c>
    </row>
    <row r="129" spans="15:24" x14ac:dyDescent="0.35">
      <c r="O129" t="s">
        <v>27</v>
      </c>
      <c r="P129" t="s">
        <v>28</v>
      </c>
      <c r="Q129">
        <v>2007</v>
      </c>
      <c r="R129">
        <v>9.2100000000000009</v>
      </c>
      <c r="W129">
        <v>1996</v>
      </c>
      <c r="X129">
        <v>58164400</v>
      </c>
    </row>
    <row r="130" spans="15:24" x14ac:dyDescent="0.35">
      <c r="O130" t="s">
        <v>27</v>
      </c>
      <c r="P130" t="s">
        <v>28</v>
      </c>
      <c r="Q130">
        <v>2008</v>
      </c>
      <c r="R130">
        <v>9.2200000000000006</v>
      </c>
      <c r="W130">
        <v>1997</v>
      </c>
      <c r="X130">
        <v>58314200</v>
      </c>
    </row>
    <row r="131" spans="15:24" x14ac:dyDescent="0.35">
      <c r="O131" t="s">
        <v>27</v>
      </c>
      <c r="P131" t="s">
        <v>28</v>
      </c>
      <c r="Q131">
        <v>2009</v>
      </c>
      <c r="R131">
        <v>9.23</v>
      </c>
      <c r="W131">
        <v>1998</v>
      </c>
      <c r="X131">
        <v>58474900</v>
      </c>
    </row>
    <row r="132" spans="15:24" x14ac:dyDescent="0.35">
      <c r="O132" t="s">
        <v>27</v>
      </c>
      <c r="P132" t="s">
        <v>28</v>
      </c>
      <c r="Q132">
        <v>2010</v>
      </c>
      <c r="R132">
        <v>9.23</v>
      </c>
      <c r="W132">
        <v>1999</v>
      </c>
      <c r="X132">
        <v>58684400</v>
      </c>
    </row>
    <row r="133" spans="15:24" x14ac:dyDescent="0.35">
      <c r="O133" t="s">
        <v>27</v>
      </c>
      <c r="P133" t="s">
        <v>28</v>
      </c>
      <c r="Q133">
        <v>2011</v>
      </c>
      <c r="R133">
        <v>9.25</v>
      </c>
      <c r="W133">
        <v>2000</v>
      </c>
      <c r="X133">
        <v>58886100</v>
      </c>
    </row>
    <row r="134" spans="15:24" x14ac:dyDescent="0.35">
      <c r="O134" t="s">
        <v>27</v>
      </c>
      <c r="P134" t="s">
        <v>28</v>
      </c>
      <c r="Q134">
        <v>2012</v>
      </c>
      <c r="R134">
        <v>9.27</v>
      </c>
      <c r="W134">
        <v>2001</v>
      </c>
      <c r="X134">
        <v>59113000</v>
      </c>
    </row>
    <row r="135" spans="15:24" x14ac:dyDescent="0.35">
      <c r="O135" t="s">
        <v>27</v>
      </c>
      <c r="P135" t="s">
        <v>28</v>
      </c>
      <c r="Q135">
        <v>2013</v>
      </c>
      <c r="R135">
        <v>9.2799999999999994</v>
      </c>
      <c r="W135">
        <v>2002</v>
      </c>
      <c r="X135">
        <v>59365700</v>
      </c>
    </row>
    <row r="136" spans="15:24" x14ac:dyDescent="0.35">
      <c r="O136" t="s">
        <v>27</v>
      </c>
      <c r="P136" t="s">
        <v>28</v>
      </c>
      <c r="Q136">
        <v>2014</v>
      </c>
      <c r="R136">
        <v>9.31</v>
      </c>
      <c r="W136">
        <v>2003</v>
      </c>
      <c r="X136">
        <v>59636700</v>
      </c>
    </row>
    <row r="137" spans="15:24" x14ac:dyDescent="0.35">
      <c r="O137" t="s">
        <v>27</v>
      </c>
      <c r="P137" t="s">
        <v>28</v>
      </c>
      <c r="Q137">
        <v>2015</v>
      </c>
      <c r="R137">
        <v>9.33</v>
      </c>
      <c r="W137">
        <v>2004</v>
      </c>
      <c r="X137">
        <v>59950400</v>
      </c>
    </row>
    <row r="138" spans="15:24" x14ac:dyDescent="0.35">
      <c r="O138" t="s">
        <v>27</v>
      </c>
      <c r="P138" t="s">
        <v>28</v>
      </c>
      <c r="Q138">
        <v>2016</v>
      </c>
      <c r="R138">
        <v>9.35</v>
      </c>
      <c r="W138">
        <v>2005</v>
      </c>
      <c r="X138">
        <v>60413300</v>
      </c>
    </row>
    <row r="139" spans="15:24" x14ac:dyDescent="0.35">
      <c r="O139" t="s">
        <v>27</v>
      </c>
      <c r="P139" t="s">
        <v>28</v>
      </c>
      <c r="Q139">
        <v>2017</v>
      </c>
      <c r="R139">
        <v>9.3699999999999992</v>
      </c>
      <c r="W139">
        <v>2006</v>
      </c>
      <c r="X139">
        <v>60827100</v>
      </c>
    </row>
    <row r="140" spans="15:24" x14ac:dyDescent="0.35">
      <c r="O140" t="s">
        <v>27</v>
      </c>
      <c r="P140" t="s">
        <v>28</v>
      </c>
      <c r="Q140">
        <v>2018</v>
      </c>
      <c r="R140">
        <v>9.3800000000000008</v>
      </c>
      <c r="W140">
        <v>2007</v>
      </c>
      <c r="X140">
        <v>61319100</v>
      </c>
    </row>
    <row r="141" spans="15:24" x14ac:dyDescent="0.35">
      <c r="O141" t="s">
        <v>27</v>
      </c>
      <c r="P141" t="s">
        <v>28</v>
      </c>
      <c r="Q141">
        <v>2019</v>
      </c>
      <c r="R141">
        <v>9.39</v>
      </c>
      <c r="W141">
        <v>2008</v>
      </c>
      <c r="X141">
        <v>61823800</v>
      </c>
    </row>
    <row r="142" spans="15:24" x14ac:dyDescent="0.35">
      <c r="O142" t="s">
        <v>27</v>
      </c>
      <c r="P142" t="s">
        <v>28</v>
      </c>
      <c r="Q142">
        <v>2020</v>
      </c>
      <c r="R142">
        <v>9.41</v>
      </c>
      <c r="W142">
        <v>2009</v>
      </c>
      <c r="X142">
        <v>62260500</v>
      </c>
    </row>
    <row r="143" spans="15:24" x14ac:dyDescent="0.35">
      <c r="O143" t="s">
        <v>27</v>
      </c>
      <c r="P143" t="s">
        <v>28</v>
      </c>
      <c r="Q143">
        <v>2021</v>
      </c>
      <c r="R143">
        <v>9.41</v>
      </c>
      <c r="W143">
        <v>2010</v>
      </c>
      <c r="X143">
        <v>62759500</v>
      </c>
    </row>
    <row r="144" spans="15:24" x14ac:dyDescent="0.35">
      <c r="O144" t="s">
        <v>27</v>
      </c>
      <c r="P144" t="s">
        <v>28</v>
      </c>
      <c r="Q144">
        <v>2022</v>
      </c>
      <c r="R144">
        <v>9.42</v>
      </c>
      <c r="W144">
        <v>2011</v>
      </c>
      <c r="X144">
        <v>63285100</v>
      </c>
    </row>
    <row r="145" spans="23:24" x14ac:dyDescent="0.35">
      <c r="W145">
        <v>2012</v>
      </c>
      <c r="X145">
        <v>63710800</v>
      </c>
    </row>
    <row r="146" spans="23:24" x14ac:dyDescent="0.35">
      <c r="W146">
        <v>2013</v>
      </c>
      <c r="X146">
        <v>64138700</v>
      </c>
    </row>
    <row r="147" spans="23:24" x14ac:dyDescent="0.35">
      <c r="W147">
        <v>2014</v>
      </c>
      <c r="X147">
        <v>64619500</v>
      </c>
    </row>
    <row r="148" spans="23:24" x14ac:dyDescent="0.35">
      <c r="W148">
        <v>2015</v>
      </c>
      <c r="X148">
        <v>65088100</v>
      </c>
    </row>
    <row r="149" spans="23:24" x14ac:dyDescent="0.35">
      <c r="W149">
        <v>2016</v>
      </c>
      <c r="X149">
        <v>65607100</v>
      </c>
    </row>
    <row r="150" spans="23:24" x14ac:dyDescent="0.35">
      <c r="W150">
        <v>2017</v>
      </c>
      <c r="X150">
        <v>65966000</v>
      </c>
    </row>
    <row r="151" spans="23:24" x14ac:dyDescent="0.35">
      <c r="W151">
        <v>2018</v>
      </c>
      <c r="X151">
        <v>66288900</v>
      </c>
    </row>
    <row r="152" spans="23:24" x14ac:dyDescent="0.35">
      <c r="W152">
        <v>2019</v>
      </c>
      <c r="X152">
        <v>66630700</v>
      </c>
    </row>
    <row r="153" spans="23:24" x14ac:dyDescent="0.35">
      <c r="W153">
        <v>2020</v>
      </c>
      <c r="X153">
        <v>66744100</v>
      </c>
    </row>
    <row r="154" spans="23:24" x14ac:dyDescent="0.35">
      <c r="W154">
        <v>2021</v>
      </c>
      <c r="X154">
        <v>66983500</v>
      </c>
    </row>
    <row r="155" spans="23:24" x14ac:dyDescent="0.35">
      <c r="W155">
        <v>2022</v>
      </c>
      <c r="X155">
        <v>67602800</v>
      </c>
    </row>
    <row r="156" spans="23:24" x14ac:dyDescent="0.35">
      <c r="W156">
        <v>2023</v>
      </c>
      <c r="X156">
        <v>68265200</v>
      </c>
    </row>
  </sheetData>
  <mergeCells count="2">
    <mergeCell ref="N1:S3"/>
    <mergeCell ref="I16:K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BDC2-666B-4F31-B7D0-8084677D3ED5}">
  <dimension ref="F4:P17"/>
  <sheetViews>
    <sheetView showGridLines="0" zoomScale="60" workbookViewId="0">
      <selection activeCell="N43" sqref="N43"/>
    </sheetView>
  </sheetViews>
  <sheetFormatPr defaultRowHeight="14.5" x14ac:dyDescent="0.35"/>
  <cols>
    <col min="6" max="6" width="6.54296875" customWidth="1"/>
    <col min="7" max="7" width="22.453125" bestFit="1" customWidth="1"/>
    <col min="8" max="8" width="11.08984375" bestFit="1" customWidth="1"/>
    <col min="9" max="9" width="15.36328125" bestFit="1" customWidth="1"/>
    <col min="14" max="14" width="22.453125" bestFit="1" customWidth="1"/>
    <col min="15" max="15" width="11.08984375" bestFit="1" customWidth="1"/>
    <col min="16" max="16" width="15.36328125" bestFit="1" customWidth="1"/>
  </cols>
  <sheetData>
    <row r="4" spans="6:16" ht="15" thickBot="1" x14ac:dyDescent="0.4"/>
    <row r="5" spans="6:16" ht="15" thickBot="1" x14ac:dyDescent="0.4">
      <c r="F5" s="38"/>
      <c r="G5" s="39" t="s">
        <v>38</v>
      </c>
      <c r="H5" s="39" t="s">
        <v>39</v>
      </c>
      <c r="I5" s="40" t="s">
        <v>40</v>
      </c>
    </row>
    <row r="6" spans="6:16" ht="15" thickBot="1" x14ac:dyDescent="0.4">
      <c r="F6" s="37">
        <v>2024</v>
      </c>
      <c r="G6" s="37">
        <v>800</v>
      </c>
      <c r="H6" s="37">
        <v>800</v>
      </c>
      <c r="I6" s="37">
        <v>800</v>
      </c>
    </row>
    <row r="7" spans="6:16" ht="15" thickBot="1" x14ac:dyDescent="0.4">
      <c r="F7" s="37">
        <v>2030</v>
      </c>
      <c r="G7" s="53">
        <v>1200</v>
      </c>
      <c r="H7" s="53">
        <v>1000</v>
      </c>
      <c r="I7" s="53">
        <v>1100</v>
      </c>
    </row>
    <row r="8" spans="6:16" ht="15" thickBot="1" x14ac:dyDescent="0.4">
      <c r="F8" s="37">
        <v>2040</v>
      </c>
      <c r="G8" s="53">
        <v>1700</v>
      </c>
      <c r="H8" s="53">
        <v>1400</v>
      </c>
      <c r="I8" s="53">
        <v>1600</v>
      </c>
    </row>
    <row r="9" spans="6:16" ht="15" thickBot="1" x14ac:dyDescent="0.4">
      <c r="F9" s="37">
        <v>2050</v>
      </c>
      <c r="G9" s="53">
        <v>2150</v>
      </c>
      <c r="H9" s="53">
        <v>1800</v>
      </c>
      <c r="I9" s="53">
        <v>2400</v>
      </c>
    </row>
    <row r="13" spans="6:16" x14ac:dyDescent="0.35">
      <c r="M13" s="50" t="s">
        <v>24</v>
      </c>
      <c r="N13" s="51" t="s">
        <v>38</v>
      </c>
      <c r="O13" s="51" t="s">
        <v>39</v>
      </c>
      <c r="P13" s="51" t="s">
        <v>40</v>
      </c>
    </row>
    <row r="14" spans="6:16" x14ac:dyDescent="0.35">
      <c r="M14" s="52">
        <v>2024</v>
      </c>
      <c r="N14" s="52">
        <v>800</v>
      </c>
      <c r="O14" s="52">
        <v>800</v>
      </c>
      <c r="P14" s="52">
        <v>800</v>
      </c>
    </row>
    <row r="15" spans="6:16" x14ac:dyDescent="0.35">
      <c r="M15" s="52">
        <v>2030</v>
      </c>
      <c r="N15" s="54">
        <v>1200</v>
      </c>
      <c r="O15" s="54">
        <v>1000</v>
      </c>
      <c r="P15" s="54">
        <v>1100</v>
      </c>
    </row>
    <row r="16" spans="6:16" x14ac:dyDescent="0.35">
      <c r="M16" s="52">
        <v>2040</v>
      </c>
      <c r="N16" s="54">
        <v>1700</v>
      </c>
      <c r="O16" s="54">
        <v>1400</v>
      </c>
      <c r="P16" s="54">
        <v>1600</v>
      </c>
    </row>
    <row r="17" spans="13:16" x14ac:dyDescent="0.35">
      <c r="M17" s="52">
        <v>2050</v>
      </c>
      <c r="N17" s="54">
        <v>2150</v>
      </c>
      <c r="O17" s="54">
        <v>1800</v>
      </c>
      <c r="P17" s="54">
        <v>2400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F30-940D-42C8-A43D-4394AAEF9911}">
  <dimension ref="E7:K20"/>
  <sheetViews>
    <sheetView showGridLines="0" zoomScale="57" workbookViewId="0">
      <selection activeCell="L11" sqref="L11"/>
    </sheetView>
  </sheetViews>
  <sheetFormatPr defaultRowHeight="14.5" x14ac:dyDescent="0.35"/>
  <cols>
    <col min="5" max="5" width="4.7265625" bestFit="1" customWidth="1"/>
    <col min="6" max="6" width="18.6328125" bestFit="1" customWidth="1"/>
    <col min="7" max="7" width="17.6328125" bestFit="1" customWidth="1"/>
    <col min="8" max="8" width="16.1796875" bestFit="1" customWidth="1"/>
    <col min="9" max="9" width="18.08984375" bestFit="1" customWidth="1"/>
    <col min="10" max="10" width="19.1796875" bestFit="1" customWidth="1"/>
    <col min="11" max="11" width="18.08984375" bestFit="1" customWidth="1"/>
    <col min="12" max="12" width="19.1796875" bestFit="1" customWidth="1"/>
  </cols>
  <sheetData>
    <row r="7" spans="5:10" ht="15" thickBot="1" x14ac:dyDescent="0.4"/>
    <row r="8" spans="5:10" ht="15" thickBot="1" x14ac:dyDescent="0.4">
      <c r="E8" s="38" t="s">
        <v>24</v>
      </c>
      <c r="F8" s="39" t="s">
        <v>32</v>
      </c>
      <c r="G8" s="39" t="s">
        <v>34</v>
      </c>
      <c r="H8" s="39" t="s">
        <v>35</v>
      </c>
      <c r="I8" s="39" t="s">
        <v>33</v>
      </c>
      <c r="J8" s="40" t="s">
        <v>36</v>
      </c>
    </row>
    <row r="9" spans="5:10" ht="15" thickBot="1" x14ac:dyDescent="0.4">
      <c r="E9" s="37">
        <v>2024</v>
      </c>
      <c r="F9" s="37">
        <v>60</v>
      </c>
      <c r="G9" s="37">
        <v>60</v>
      </c>
      <c r="H9" s="37">
        <v>60</v>
      </c>
      <c r="I9" s="37">
        <v>60</v>
      </c>
      <c r="J9" s="37">
        <v>60</v>
      </c>
    </row>
    <row r="10" spans="5:10" ht="15" thickBot="1" x14ac:dyDescent="0.4">
      <c r="E10" s="37">
        <v>2030</v>
      </c>
      <c r="F10" s="37">
        <v>70</v>
      </c>
      <c r="G10" s="37">
        <v>65</v>
      </c>
      <c r="H10" s="37">
        <v>60</v>
      </c>
      <c r="I10" s="37">
        <v>50</v>
      </c>
      <c r="J10" s="37">
        <v>45</v>
      </c>
    </row>
    <row r="11" spans="5:10" ht="15" thickBot="1" x14ac:dyDescent="0.4">
      <c r="E11" s="37">
        <v>2035</v>
      </c>
      <c r="F11" s="37">
        <v>85</v>
      </c>
      <c r="G11" s="37">
        <v>75</v>
      </c>
      <c r="H11" s="37">
        <v>60</v>
      </c>
      <c r="I11" s="37">
        <v>45</v>
      </c>
      <c r="J11" s="37">
        <v>35</v>
      </c>
    </row>
    <row r="12" spans="5:10" ht="15" thickBot="1" x14ac:dyDescent="0.4">
      <c r="E12" s="37">
        <v>2040</v>
      </c>
      <c r="F12" s="37">
        <v>95</v>
      </c>
      <c r="G12" s="37">
        <v>85</v>
      </c>
      <c r="H12" s="37">
        <v>60</v>
      </c>
      <c r="I12" s="37">
        <v>35</v>
      </c>
      <c r="J12" s="37">
        <v>25</v>
      </c>
    </row>
    <row r="13" spans="5:10" ht="15" thickBot="1" x14ac:dyDescent="0.4">
      <c r="E13" s="37">
        <v>2045</v>
      </c>
      <c r="F13" s="37">
        <v>110</v>
      </c>
      <c r="G13" s="37">
        <v>90</v>
      </c>
      <c r="H13" s="37">
        <v>60</v>
      </c>
      <c r="I13" s="37">
        <v>30</v>
      </c>
      <c r="J13" s="37">
        <v>20</v>
      </c>
    </row>
    <row r="14" spans="5:10" ht="15" thickBot="1" x14ac:dyDescent="0.4">
      <c r="E14" s="37">
        <v>2050</v>
      </c>
      <c r="F14" s="37">
        <v>120</v>
      </c>
      <c r="G14" s="37">
        <v>95</v>
      </c>
      <c r="H14" s="37">
        <v>60</v>
      </c>
      <c r="I14" s="37">
        <v>25</v>
      </c>
      <c r="J14" s="37">
        <v>15</v>
      </c>
    </row>
    <row r="20" spans="11:11" x14ac:dyDescent="0.35">
      <c r="K20" t="s">
        <v>37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DE92-E725-46CB-827A-374A993D1868}">
  <dimension ref="F7:G16"/>
  <sheetViews>
    <sheetView topLeftCell="C1" zoomScale="98" workbookViewId="0">
      <selection activeCell="J7" sqref="J7"/>
    </sheetView>
  </sheetViews>
  <sheetFormatPr defaultRowHeight="14.5" x14ac:dyDescent="0.35"/>
  <sheetData>
    <row r="7" spans="6:7" x14ac:dyDescent="0.35">
      <c r="F7" t="s">
        <v>18</v>
      </c>
      <c r="G7" t="s">
        <v>2</v>
      </c>
    </row>
    <row r="8" spans="6:7" x14ac:dyDescent="0.35">
      <c r="F8" s="5">
        <v>54618</v>
      </c>
      <c r="G8" s="5">
        <v>2026566</v>
      </c>
    </row>
    <row r="9" spans="6:7" x14ac:dyDescent="0.35">
      <c r="F9" s="5">
        <v>54617</v>
      </c>
      <c r="G9" s="5">
        <v>2071561</v>
      </c>
    </row>
    <row r="10" spans="6:7" x14ac:dyDescent="0.35">
      <c r="F10" s="5">
        <v>56086</v>
      </c>
      <c r="G10" s="5">
        <v>2111357</v>
      </c>
    </row>
    <row r="11" spans="6:7" x14ac:dyDescent="0.35">
      <c r="F11" s="5">
        <v>57453</v>
      </c>
      <c r="G11" s="5">
        <v>2167415</v>
      </c>
    </row>
    <row r="12" spans="6:7" x14ac:dyDescent="0.35">
      <c r="F12" s="5">
        <v>57251</v>
      </c>
      <c r="G12" s="5">
        <v>2197841</v>
      </c>
    </row>
    <row r="13" spans="6:7" x14ac:dyDescent="0.35">
      <c r="F13" s="5">
        <v>56275</v>
      </c>
      <c r="G13" s="5">
        <v>2233921</v>
      </c>
    </row>
    <row r="14" spans="6:7" x14ac:dyDescent="0.35">
      <c r="F14" s="5">
        <v>41712</v>
      </c>
      <c r="G14" s="5">
        <v>2002489</v>
      </c>
    </row>
    <row r="15" spans="6:7" x14ac:dyDescent="0.35">
      <c r="F15" s="5">
        <v>44395</v>
      </c>
      <c r="G15" s="5">
        <v>2176203</v>
      </c>
    </row>
    <row r="16" spans="6:7" x14ac:dyDescent="0.35">
      <c r="F16" s="5">
        <v>50783</v>
      </c>
      <c r="G16" s="5">
        <v>2270764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Vinni </vt:lpstr>
      <vt:lpstr>Plot</vt:lpstr>
      <vt:lpstr>Regression &amp; Forecast</vt:lpstr>
      <vt:lpstr>Regression Vinni</vt:lpstr>
      <vt:lpstr>Regression Vinni Full </vt:lpstr>
      <vt:lpstr>Energy % for Uk</vt:lpstr>
      <vt:lpstr>Datas</vt:lpstr>
      <vt:lpstr>Scenario 1</vt:lpstr>
      <vt:lpstr>Scenario 2</vt:lpstr>
      <vt:lpstr>Scatterplot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Zope</dc:creator>
  <cp:lastModifiedBy>Vinita Bhardwaj (Student)</cp:lastModifiedBy>
  <dcterms:created xsi:type="dcterms:W3CDTF">2024-10-23T08:16:20Z</dcterms:created>
  <dcterms:modified xsi:type="dcterms:W3CDTF">2026-06-12T17:23:39Z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2024-10-23T08:27:17Z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f1809960-acff-4365-8455-545723310645</vt:lpwstr>
  </property>
  <property fmtid="{D5CDD505-2E9C-101B-9397-08002B2CF9AE}" pid="8" name="MSIP_Label_57443d00-af18-408c-9335-47b5de3ec9b9_ContentBits">
    <vt:lpwstr>2</vt:lpwstr>
  </property>
</Properties>
</file>