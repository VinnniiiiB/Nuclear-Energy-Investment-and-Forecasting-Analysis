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91773\Downloads\"/>
    </mc:Choice>
  </mc:AlternateContent>
  <xr:revisionPtr revIDLastSave="0" documentId="13_ncr:1_{CF3F77D4-8F20-4AE3-92E2-C07463F482B9}" xr6:coauthVersionLast="47" xr6:coauthVersionMax="47" xr10:uidLastSave="{00000000-0000-0000-0000-000000000000}"/>
  <bookViews>
    <workbookView xWindow="-110" yWindow="-110" windowWidth="19420" windowHeight="10300" xr2:uid="{CB9D58CF-5933-4029-B6C8-DD5B761F3A28}"/>
  </bookViews>
  <sheets>
    <sheet name="Energy Conumption" sheetId="1" r:id="rId1"/>
    <sheet name="Sector wise consumption" sheetId="4" r:id="rId2"/>
    <sheet name="Statista" sheetId="2" r:id="rId3"/>
    <sheet name="Statista 2" sheetId="3"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0" i="1" l="1"/>
  <c r="BK7" i="1" l="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alcChain>
</file>

<file path=xl/sharedStrings.xml><?xml version="1.0" encoding="utf-8"?>
<sst xmlns="http://schemas.openxmlformats.org/spreadsheetml/2006/main" count="1026" uniqueCount="99">
  <si>
    <t>Final Energy Consumption by sector and fuel 1970-2023 (ktoe)</t>
  </si>
  <si>
    <t>This worksheet contains six tables</t>
  </si>
  <si>
    <t>Some cells refer to notes which can be found on the notes worksheet</t>
  </si>
  <si>
    <t>Some shorthand is used in this table, [x] = unavailable</t>
  </si>
  <si>
    <t>Industry [Note 1]</t>
  </si>
  <si>
    <t>Transport</t>
  </si>
  <si>
    <t>Domestic</t>
  </si>
  <si>
    <t>Services and other final users</t>
  </si>
  <si>
    <t>All final users</t>
  </si>
  <si>
    <t>Road transport (additional breakdown)</t>
  </si>
  <si>
    <t>Year</t>
  </si>
  <si>
    <t>Coal</t>
  </si>
  <si>
    <t>Coke and breeze
[Note 2]</t>
  </si>
  <si>
    <t>Other solid fuels
[Note 3]</t>
  </si>
  <si>
    <t>Coke oven gas</t>
  </si>
  <si>
    <t>Town gas</t>
  </si>
  <si>
    <t>Natural gas
[Note 4]</t>
  </si>
  <si>
    <t>Electricity</t>
  </si>
  <si>
    <t>Heat</t>
  </si>
  <si>
    <t>Bioenergy &amp; waste</t>
  </si>
  <si>
    <t>Petroleum products</t>
  </si>
  <si>
    <t>Total
[Note 2]</t>
  </si>
  <si>
    <t>Rail - Coal</t>
  </si>
  <si>
    <t>Rail - Coke and breeze</t>
  </si>
  <si>
    <t>Rail - Electricity
[Note 5]</t>
  </si>
  <si>
    <t>Rail - Petroleum</t>
  </si>
  <si>
    <t>Road - Electricity</t>
  </si>
  <si>
    <t>Road - Petroleum</t>
  </si>
  <si>
    <t>Road - Bioenergy &amp; waste</t>
  </si>
  <si>
    <t>Road - Natural gas</t>
  </si>
  <si>
    <t>Water - Coal</t>
  </si>
  <si>
    <t>Water - Petroleum</t>
  </si>
  <si>
    <t>Air - Petroleum</t>
  </si>
  <si>
    <t>Air - Bioenergy &amp; waste</t>
  </si>
  <si>
    <t xml:space="preserve">Total
</t>
  </si>
  <si>
    <t>Coke and breeze</t>
  </si>
  <si>
    <t>Natural gas</t>
  </si>
  <si>
    <t>Petroleum</t>
  </si>
  <si>
    <t>Total</t>
  </si>
  <si>
    <t>Natural gas [Note 4]</t>
  </si>
  <si>
    <t>Total
[Note 2]
[Note 6]</t>
  </si>
  <si>
    <t>Passenger - Petroleum</t>
  </si>
  <si>
    <t>Passenger - Bioenergy &amp; waste</t>
  </si>
  <si>
    <t>Freight - Petroleum</t>
  </si>
  <si>
    <t>Freight - Bioenergy &amp; waste</t>
  </si>
  <si>
    <t>[x]</t>
  </si>
  <si>
    <t>Column1</t>
  </si>
  <si>
    <t xml:space="preserve">Energy KTOe (Kilotonne) </t>
  </si>
  <si>
    <t>Years</t>
  </si>
  <si>
    <t>Statistic as Excel data file</t>
  </si>
  <si>
    <t>Primary energy consumption in the United Kingdom (UK) from 2004 to 2023 (in exajoules)</t>
  </si>
  <si>
    <t>Access data</t>
  </si>
  <si>
    <t>Source</t>
  </si>
  <si>
    <t>Description</t>
  </si>
  <si>
    <t xml:space="preserve"> Primary energy consumption in the United Kingdom stood at around 6.95 exajoules in 2023, a decrease of roughly 4.4 percent from the previous year. Nevertheless, during the period in consideration, figures decreased by nearly three exajoules, peaking at 9.77 exajoules in 2005. </t>
  </si>
  <si>
    <t>Energy Institute; KPMG; Kearney</t>
  </si>
  <si>
    <t>Conducted by</t>
  </si>
  <si>
    <t>KPMG; Kearney</t>
  </si>
  <si>
    <t>Survey period</t>
  </si>
  <si>
    <t>2004 to 2023</t>
  </si>
  <si>
    <t>Region</t>
  </si>
  <si>
    <t>United Kingdom</t>
  </si>
  <si>
    <t>Type of survey</t>
  </si>
  <si>
    <t>n.a.</t>
  </si>
  <si>
    <t>Number of respondents</t>
  </si>
  <si>
    <t>Age group</t>
  </si>
  <si>
    <t>Special characteristics</t>
  </si>
  <si>
    <t>Note</t>
  </si>
  <si>
    <t>This report was previously published by BP. 
Figures refer to commercially traded fuels, including modern renewables used to generate electricity.
This statistic was compiled using several releases of the publication.
Figures were restated based on the latest edition of the report.</t>
  </si>
  <si>
    <t>Publication</t>
  </si>
  <si>
    <t>Published by</t>
  </si>
  <si>
    <t>Energy Institute</t>
  </si>
  <si>
    <t>Publication date</t>
  </si>
  <si>
    <t>June 2024</t>
  </si>
  <si>
    <t>Original source</t>
  </si>
  <si>
    <t>Statistical Review of World Energy 2024, tab primary energy cons - EJ</t>
  </si>
  <si>
    <t>ID</t>
  </si>
  <si>
    <t>332514</t>
  </si>
  <si>
    <t>Primary energy consumption in the United Kingdom (UK) 2004-2023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</si>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</sst>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2">
    <font>
      <sz val="11"/>
      <color theme="1"/>
      <name val="Calibiri"/>
      <family val="2"/>
    </font>
    <font>
      <sz val="11"/>
      <color theme="1"/>
      <name val="Calibiri"/>
      <family val="2"/>
    </font>
    <font>
      <b/>
      <sz val="22"/>
      <name val="Aptos Narrow"/>
      <family val="2"/>
      <scheme val="minor"/>
    </font>
    <font>
      <sz val="10"/>
      <name val="Arial"/>
      <family val="2"/>
    </font>
    <font>
      <b/>
      <sz val="10"/>
      <name val="Arial"/>
      <family val="2"/>
    </font>
    <font>
      <sz val="10"/>
      <color theme="1"/>
      <name val="Arial"/>
      <family val="2"/>
    </font>
    <font>
      <sz val="12"/>
      <color theme="1"/>
      <name val="Aptos Narrow"/>
      <family val="2"/>
      <scheme val="minor"/>
    </font>
    <font>
      <sz val="8.5"/>
      <name val="Arial"/>
      <family val="2"/>
    </font>
    <font>
      <b/>
      <sz val="10"/>
      <color theme="1"/>
      <name val="Arial"/>
      <family val="2"/>
    </font>
    <font>
      <i/>
      <sz val="8.5"/>
      <name val="Arial"/>
      <family val="2"/>
    </font>
    <font>
      <u/>
      <sz val="10"/>
      <color rgb="FF0000FF"/>
      <name val="Arial"/>
      <family val="2"/>
    </font>
    <font>
      <i/>
      <sz val="10"/>
      <name val="Arial"/>
      <family val="2"/>
    </font>
    <font>
      <sz val="10"/>
      <color rgb="FF9C0006"/>
      <name val="Arial"/>
      <family val="2"/>
    </font>
    <font>
      <u/>
      <sz val="10"/>
      <color indexed="12"/>
      <name val="Arial"/>
      <family val="2"/>
    </font>
    <font>
      <sz val="11"/>
      <color theme="1"/>
      <name val="Arial"/>
      <family val="2"/>
    </font>
    <font>
      <u/>
      <sz val="9"/>
      <color indexed="12"/>
      <name val="Arial"/>
      <family val="2"/>
    </font>
    <font>
      <sz val="11"/>
      <color theme="1"/>
      <name val="Aptos Narrow"/>
      <family val="2"/>
      <scheme val="minor"/>
    </font>
    <font>
      <sz val="10"/>
      <name val="MS Sans Serif"/>
      <family val="2"/>
    </font>
    <font>
      <b/>
      <sz val="13"/>
      <color theme="3"/>
      <name val="Aptos Narrow"/>
      <family val="2"/>
      <scheme val="minor"/>
    </font>
    <font>
      <b/>
      <sz val="18"/>
      <name val="Aptos Narrow"/>
      <family val="2"/>
      <scheme val="minor"/>
    </font>
    <font>
      <b/>
      <sz val="14"/>
      <name val="Aptos Narrow"/>
      <family val="2"/>
      <scheme val="minor"/>
    </font>
    <font>
      <sz val="12"/>
      <name val="Arial"/>
      <family val="2"/>
    </font>
  </fonts>
  <fills count="4">
    <fill>
      <patternFill patternType="none"/>
    </fill>
    <fill>
      <patternFill patternType="gray125"/>
    </fill>
    <fill>
      <patternFill patternType="solid">
        <fgColor rgb="FFFFC7CE"/>
      </patternFill>
    </fill>
    <fill>
      <patternFill patternType="solid">
        <fgColor theme="4" tint="0.59996337778862885"/>
        <bgColor indexed="64"/>
      </patternFill>
    </fill>
  </fills>
  <borders count="7">
    <border>
      <left/>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ck">
        <color theme="4" tint="0.499984740745262"/>
      </bottom>
      <diagonal/>
    </border>
  </borders>
  <cellStyleXfs count="36">
    <xf numFmtId="0" fontId="0" fillId="0" borderId="0"/>
    <xf numFmtId="9" fontId="1" fillId="0" borderId="0" applyFont="0" applyFill="0" applyBorder="0" applyAlignment="0" applyProtection="0"/>
    <xf numFmtId="0" fontId="2" fillId="0" borderId="0" applyNumberFormat="0" applyFill="0" applyProtection="0">
      <alignment vertical="center"/>
    </xf>
    <xf numFmtId="0" fontId="3" fillId="0" borderId="0"/>
    <xf numFmtId="0" fontId="6" fillId="0" borderId="0">
      <alignment vertical="center" wrapText="1"/>
    </xf>
    <xf numFmtId="0" fontId="3" fillId="0" borderId="0"/>
    <xf numFmtId="0" fontId="5" fillId="0" borderId="0"/>
    <xf numFmtId="43" fontId="3" fillId="0" borderId="0" applyFont="0" applyFill="0" applyBorder="0" applyAlignment="0" applyProtection="0"/>
    <xf numFmtId="9" fontId="3" fillId="0" borderId="0" applyFont="0" applyFill="0" applyBorder="0" applyAlignment="0" applyProtection="0"/>
    <xf numFmtId="0" fontId="12" fillId="2" borderId="0" applyNumberFormat="0" applyBorder="0" applyAlignment="0" applyProtection="0"/>
    <xf numFmtId="0" fontId="13" fillId="0" borderId="0" applyNumberFormat="0" applyFill="0" applyBorder="0" applyAlignment="0" applyProtection="0">
      <alignment vertical="top"/>
      <protection locked="0"/>
    </xf>
    <xf numFmtId="0" fontId="3" fillId="0" borderId="0"/>
    <xf numFmtId="0" fontId="14" fillId="0" borderId="0"/>
    <xf numFmtId="0" fontId="3" fillId="0" borderId="0"/>
    <xf numFmtId="0" fontId="3" fillId="0" borderId="0"/>
    <xf numFmtId="0" fontId="15" fillId="0" borderId="0" applyNumberFormat="0" applyFill="0" applyBorder="0" applyAlignment="0" applyProtection="0">
      <alignment vertical="top"/>
      <protection locked="0"/>
    </xf>
    <xf numFmtId="0" fontId="3" fillId="0" borderId="0"/>
    <xf numFmtId="43" fontId="3" fillId="0" borderId="0" applyFont="0" applyFill="0" applyBorder="0" applyAlignment="0" applyProtection="0"/>
    <xf numFmtId="9" fontId="3" fillId="0" borderId="0" applyFont="0" applyFill="0" applyBorder="0" applyAlignment="0" applyProtection="0"/>
    <xf numFmtId="0" fontId="16" fillId="0" borderId="0"/>
    <xf numFmtId="0" fontId="3" fillId="0" borderId="0"/>
    <xf numFmtId="43" fontId="16" fillId="0" borderId="0" applyFont="0" applyFill="0" applyBorder="0" applyAlignment="0" applyProtection="0"/>
    <xf numFmtId="43" fontId="3" fillId="0" borderId="0" applyFont="0" applyFill="0" applyBorder="0" applyAlignment="0" applyProtection="0"/>
    <xf numFmtId="0" fontId="13" fillId="0" borderId="0" applyNumberFormat="0" applyFill="0" applyBorder="0" applyAlignment="0" applyProtection="0">
      <alignment vertical="top"/>
      <protection locked="0"/>
    </xf>
    <xf numFmtId="43" fontId="3" fillId="0" borderId="0" applyFont="0" applyFill="0" applyBorder="0" applyAlignment="0" applyProtection="0"/>
    <xf numFmtId="9" fontId="16" fillId="0" borderId="0" applyFont="0" applyFill="0" applyBorder="0" applyAlignment="0" applyProtection="0"/>
    <xf numFmtId="43" fontId="3" fillId="0" borderId="0" applyFont="0" applyFill="0" applyBorder="0" applyAlignment="0" applyProtection="0"/>
    <xf numFmtId="0" fontId="17" fillId="0" borderId="0"/>
    <xf numFmtId="0" fontId="18" fillId="0" borderId="6" applyNumberFormat="0" applyFill="0" applyAlignment="0" applyProtection="0"/>
    <xf numFmtId="0" fontId="17" fillId="0" borderId="0"/>
    <xf numFmtId="0" fontId="5" fillId="0" borderId="0"/>
    <xf numFmtId="3" fontId="3" fillId="3" borderId="0" applyNumberFormat="0"/>
    <xf numFmtId="0" fontId="19" fillId="0" borderId="0" applyNumberFormat="0" applyFill="0" applyProtection="0"/>
    <xf numFmtId="0" fontId="20" fillId="0" borderId="0" applyNumberFormat="0" applyFill="0" applyProtection="0"/>
    <xf numFmtId="0" fontId="21" fillId="0" borderId="0"/>
    <xf numFmtId="0" fontId="5" fillId="0" borderId="0"/>
  </cellStyleXfs>
  <cellXfs count="62">
    <xf numFmtId="0" fontId="0" fillId="0" borderId="0" xfId="0"/>
    <xf numFmtId="0" fontId="2" fillId="0" borderId="0" xfId="2" applyFill="1">
      <alignment vertical="center"/>
    </xf>
    <xf numFmtId="0" fontId="3" fillId="0" borderId="0" xfId="3"/>
    <xf numFmtId="0" fontId="4" fillId="0" borderId="0" xfId="3" applyFont="1"/>
    <xf numFmtId="0" fontId="5" fillId="0" borderId="0" xfId="0" applyFont="1"/>
    <xf numFmtId="0" fontId="6" fillId="0" borderId="0" xfId="4" applyAlignment="1">
      <alignment vertical="center"/>
    </xf>
    <xf numFmtId="0" fontId="4" fillId="0" borderId="1" xfId="3" applyFont="1" applyBorder="1"/>
    <xf numFmtId="0" fontId="3" fillId="0" borderId="1" xfId="3" applyBorder="1" applyAlignment="1">
      <alignment horizontal="right"/>
    </xf>
    <xf numFmtId="0" fontId="3" fillId="0" borderId="1" xfId="3" applyBorder="1"/>
    <xf numFmtId="0" fontId="4" fillId="0" borderId="2" xfId="3" applyFont="1" applyBorder="1" applyAlignment="1">
      <alignment horizontal="center"/>
    </xf>
    <xf numFmtId="0" fontId="4" fillId="0" borderId="1" xfId="3" applyFont="1" applyBorder="1" applyAlignment="1">
      <alignment horizontal="right"/>
    </xf>
    <xf numFmtId="0" fontId="4" fillId="0" borderId="2" xfId="3" applyFont="1" applyBorder="1" applyAlignment="1">
      <alignment horizontal="left"/>
    </xf>
    <xf numFmtId="0" fontId="3" fillId="0" borderId="1" xfId="3" applyBorder="1" applyAlignment="1">
      <alignment horizontal="center"/>
    </xf>
    <xf numFmtId="0" fontId="4" fillId="0" borderId="1" xfId="3" applyFont="1" applyBorder="1" applyAlignment="1">
      <alignment horizontal="center"/>
    </xf>
    <xf numFmtId="0" fontId="7" fillId="0" borderId="1" xfId="0" applyFont="1" applyBorder="1" applyAlignment="1">
      <alignment horizontal="right"/>
    </xf>
    <xf numFmtId="0" fontId="8" fillId="0" borderId="1" xfId="0" applyFont="1" applyBorder="1" applyAlignment="1">
      <alignment horizontal="left"/>
    </xf>
    <xf numFmtId="0" fontId="5" fillId="0" borderId="1" xfId="0" applyFont="1" applyBorder="1"/>
    <xf numFmtId="0" fontId="4" fillId="0" borderId="3" xfId="3" applyFont="1" applyBorder="1" applyAlignment="1">
      <alignment horizontal="center" vertical="center"/>
    </xf>
    <xf numFmtId="0" fontId="4" fillId="0" borderId="3" xfId="0" applyFont="1" applyBorder="1" applyAlignment="1">
      <alignment horizontal="center" vertical="center" wrapText="1"/>
    </xf>
    <xf numFmtId="0" fontId="4" fillId="0" borderId="3" xfId="3" applyFont="1" applyBorder="1" applyAlignment="1">
      <alignment horizontal="center" vertical="center" wrapText="1"/>
    </xf>
    <xf numFmtId="0" fontId="4" fillId="0" borderId="4" xfId="3" applyFont="1" applyBorder="1" applyAlignment="1">
      <alignment horizontal="center" vertical="center"/>
    </xf>
    <xf numFmtId="49" fontId="4" fillId="0" borderId="3" xfId="0" applyNumberFormat="1" applyFont="1" applyBorder="1" applyAlignment="1">
      <alignment horizontal="center" vertical="center" wrapText="1"/>
    </xf>
    <xf numFmtId="0" fontId="4" fillId="0" borderId="3" xfId="3" quotePrefix="1" applyFont="1" applyBorder="1" applyAlignment="1">
      <alignment horizontal="center" vertical="center" wrapText="1"/>
    </xf>
    <xf numFmtId="0" fontId="8" fillId="0" borderId="3" xfId="0" applyFont="1" applyBorder="1" applyAlignment="1">
      <alignment horizontal="center" vertical="center" wrapText="1"/>
    </xf>
    <xf numFmtId="0" fontId="3" fillId="0" borderId="0" xfId="3" applyAlignment="1">
      <alignment horizontal="left"/>
    </xf>
    <xf numFmtId="3" fontId="3" fillId="0" borderId="0" xfId="3" applyNumberFormat="1"/>
    <xf numFmtId="3" fontId="3" fillId="0" borderId="0" xfId="3" applyNumberFormat="1" applyAlignment="1">
      <alignment horizontal="right"/>
    </xf>
    <xf numFmtId="1" fontId="3" fillId="0" borderId="5" xfId="3" applyNumberFormat="1" applyBorder="1" applyAlignment="1">
      <alignment horizontal="left"/>
    </xf>
    <xf numFmtId="3" fontId="5" fillId="0" borderId="0" xfId="0" applyNumberFormat="1" applyFont="1"/>
    <xf numFmtId="0" fontId="5" fillId="0" borderId="0" xfId="0" applyFont="1" applyAlignment="1">
      <alignment horizontal="left"/>
    </xf>
    <xf numFmtId="3" fontId="0" fillId="0" borderId="0" xfId="0" applyNumberFormat="1"/>
    <xf numFmtId="0" fontId="5" fillId="0" borderId="0" xfId="5" applyFont="1"/>
    <xf numFmtId="1" fontId="3" fillId="0" borderId="0" xfId="3" applyNumberFormat="1"/>
    <xf numFmtId="164" fontId="5" fillId="0" borderId="0" xfId="1" applyNumberFormat="1" applyFont="1" applyFill="1" applyAlignment="1"/>
    <xf numFmtId="3" fontId="0" fillId="0" borderId="0" xfId="0" applyNumberFormat="1" applyAlignment="1">
      <alignment horizontal="right"/>
    </xf>
    <xf numFmtId="0" fontId="0" fillId="0" borderId="0" xfId="0" applyAlignment="1">
      <alignment horizontal="right"/>
    </xf>
    <xf numFmtId="9" fontId="0" fillId="0" borderId="0" xfId="1" applyFont="1" applyFill="1" applyAlignment="1">
      <alignment horizontal="right"/>
    </xf>
    <xf numFmtId="0" fontId="9" fillId="0" borderId="0" xfId="0" applyFont="1" applyAlignment="1">
      <alignment horizontal="left"/>
    </xf>
    <xf numFmtId="0" fontId="4" fillId="0" borderId="0" xfId="0" applyFont="1" applyAlignment="1">
      <alignment horizontal="left" vertical="center"/>
    </xf>
    <xf numFmtId="0" fontId="0" fillId="0" borderId="0" xfId="0" applyAlignment="1">
      <alignment horizontal="left" vertical="center"/>
    </xf>
    <xf numFmtId="0" fontId="10" fillId="0" borderId="0" xfId="0" applyFont="1"/>
    <xf numFmtId="0" fontId="11" fillId="0" borderId="0" xfId="0" applyFont="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4" fontId="0" fillId="0" borderId="0" xfId="0" applyNumberFormat="1" applyAlignment="1">
      <alignment horizontal="right" vertical="center"/>
    </xf>
    <xf numFmtId="0" fontId="5" fillId="0" borderId="0" xfId="6"/>
    <xf numFmtId="0" fontId="5" fillId="0" borderId="0" xfId="6" applyAlignment="1">
      <alignment horizontal="right"/>
    </xf>
    <xf numFmtId="3" fontId="5" fillId="0" borderId="0" xfId="6" applyNumberFormat="1"/>
    <xf numFmtId="0" fontId="8" fillId="0" borderId="1" xfId="6" applyFont="1" applyBorder="1" applyAlignment="1">
      <alignment horizontal="left"/>
    </xf>
    <xf numFmtId="0" fontId="7" fillId="0" borderId="1" xfId="6" applyFont="1" applyBorder="1" applyAlignment="1">
      <alignment horizontal="right"/>
    </xf>
    <xf numFmtId="0" fontId="5" fillId="0" borderId="1" xfId="6" applyBorder="1"/>
    <xf numFmtId="0" fontId="4" fillId="0" borderId="3" xfId="6" applyFont="1" applyBorder="1" applyAlignment="1">
      <alignment horizontal="center" vertical="center" wrapText="1"/>
    </xf>
    <xf numFmtId="49" fontId="4" fillId="0" borderId="3" xfId="6" applyNumberFormat="1" applyFont="1" applyBorder="1" applyAlignment="1">
      <alignment horizontal="center" vertical="center" wrapText="1"/>
    </xf>
    <xf numFmtId="0" fontId="8" fillId="0" borderId="3" xfId="6" applyFont="1" applyBorder="1" applyAlignment="1">
      <alignment horizontal="center" vertical="center" wrapText="1"/>
    </xf>
    <xf numFmtId="1" fontId="3" fillId="0" borderId="5" xfId="3" applyNumberFormat="1" applyBorder="1"/>
    <xf numFmtId="164" fontId="5" fillId="0" borderId="0" xfId="8" applyNumberFormat="1" applyFont="1" applyFill="1" applyAlignment="1"/>
    <xf numFmtId="3" fontId="5" fillId="0" borderId="0" xfId="6" applyNumberFormat="1" applyAlignment="1">
      <alignment horizontal="right"/>
    </xf>
    <xf numFmtId="9" fontId="5" fillId="0" borderId="0" xfId="8" applyFont="1" applyFill="1" applyAlignment="1">
      <alignment horizontal="right"/>
    </xf>
    <xf numFmtId="0" fontId="9" fillId="0" borderId="0" xfId="6" applyFont="1" applyAlignment="1">
      <alignment horizontal="left"/>
    </xf>
    <xf numFmtId="0" fontId="5" fillId="0" borderId="0" xfId="6" applyAlignment="1">
      <alignment horizontal="left"/>
    </xf>
    <xf numFmtId="0" fontId="0" fillId="0" borderId="0" xfId="0" applyAlignment="1">
      <alignment horizontal="left" vertical="top" wrapText="1"/>
    </xf>
    <xf numFmtId="0" fontId="0" fillId="0" borderId="0" xfId="0"/>
  </cellXfs>
  <cellStyles count="36">
    <cellStyle name="Bad 2" xfId="9" xr:uid="{40335AE9-BACA-4837-927C-D386E15517C4}"/>
    <cellStyle name="Comma 2" xfId="7" xr:uid="{7086E019-57DE-44E6-B975-46DB5308E900}"/>
    <cellStyle name="Comma 2 2" xfId="22" xr:uid="{8A41094C-3FAE-4151-A1F0-1A4FCC5B5D56}"/>
    <cellStyle name="Comma 3" xfId="24" xr:uid="{656C29B7-9F1D-44DA-B539-FB2139CBA908}"/>
    <cellStyle name="Comma 4 3" xfId="21" xr:uid="{3F2EB177-B59A-4329-976A-D6B9CBE517A3}"/>
    <cellStyle name="Comma 7" xfId="17" xr:uid="{FB518988-AE15-4EE8-890A-4714D58BA17B}"/>
    <cellStyle name="Comma 7 2" xfId="26" xr:uid="{32B0B124-93B2-4B2E-B19B-9FF90E56A8B4}"/>
    <cellStyle name="Heading 1 2" xfId="2" xr:uid="{599FE72A-9CF0-4B09-A5FF-C44B346D05E9}"/>
    <cellStyle name="Heading 2 2" xfId="32" xr:uid="{08F75452-8D4F-4408-B052-B214125BE572}"/>
    <cellStyle name="Heading 2 3" xfId="28" xr:uid="{33D4D6CB-AB57-4E42-879B-67EA3D4A00F7}"/>
    <cellStyle name="Heading 3 2" xfId="33" xr:uid="{A1326E45-28B2-45B8-877B-1D6BFD6BB30B}"/>
    <cellStyle name="Hyperlink 2" xfId="15" xr:uid="{C848281D-0241-4D94-8E5F-18924D71BFBB}"/>
    <cellStyle name="Hyperlink 3" xfId="23" xr:uid="{DB94D471-1CB1-49E5-8B34-CC86556FAEAD}"/>
    <cellStyle name="Hyperlink 4" xfId="10" xr:uid="{CCDA0848-4D1F-4A5D-8DB1-8E8E89A85563}"/>
    <cellStyle name="Normal" xfId="0" builtinId="0"/>
    <cellStyle name="Normal 10" xfId="12" xr:uid="{25D9786A-6ADC-4596-A60F-CC0D55224B9D}"/>
    <cellStyle name="Normal 11" xfId="5" xr:uid="{FF90B2E8-4CB5-4610-8B13-22E6EEF17A95}"/>
    <cellStyle name="Normal 12" xfId="20" xr:uid="{48E60E20-F2E8-4A18-A97A-2D0C88F520DC}"/>
    <cellStyle name="Normal 13" xfId="16" xr:uid="{A6E6CA47-1B85-4018-BB7D-691CA49902B2}"/>
    <cellStyle name="Normal 13 2" xfId="3" xr:uid="{45476BF2-0EEB-411B-8A00-6E6C5583F60F}"/>
    <cellStyle name="Normal 2" xfId="11" xr:uid="{87A00E58-5E55-424F-AF25-9C9527514528}"/>
    <cellStyle name="Normal 2 2" xfId="34" xr:uid="{A7A2E461-A5C9-4CDA-9E53-247E51DD4ABC}"/>
    <cellStyle name="Normal 2 3" xfId="27" xr:uid="{29D65ACE-2736-4579-A503-735E54DE3E48}"/>
    <cellStyle name="Normal 2 3 2" xfId="29" xr:uid="{2CF5F495-744B-4908-833A-88D69C1137D8}"/>
    <cellStyle name="Normal 3" xfId="14" xr:uid="{95A23A2B-EC29-42A7-803A-FA141A39AFE3}"/>
    <cellStyle name="Normal 3 2" xfId="30" xr:uid="{C0DD1C5C-5CA5-45F4-A5E2-6547D621F7F4}"/>
    <cellStyle name="Normal 4" xfId="4" xr:uid="{9D690079-AE40-4772-8F87-79A677ADDC72}"/>
    <cellStyle name="Normal 4 2" xfId="35" xr:uid="{F8A8DBC6-EE72-4318-90DE-9FB03C95CE34}"/>
    <cellStyle name="Normal 4 3" xfId="19" xr:uid="{BA87EB11-5615-4C3E-8A61-83D667A72FA7}"/>
    <cellStyle name="Normal 5" xfId="13" xr:uid="{B689477E-1D48-48B6-95D7-5E62792D906C}"/>
    <cellStyle name="Normal 6" xfId="6" xr:uid="{A4CC818A-6AAA-4BA8-A5C1-AB90FE0C1FE1}"/>
    <cellStyle name="Percent" xfId="1" builtinId="5"/>
    <cellStyle name="Percent 2" xfId="18" xr:uid="{81F3140E-DEC8-49F3-BFD4-864C030026B2}"/>
    <cellStyle name="Percent 3" xfId="8" xr:uid="{88BD0665-2AB1-49B4-B2CD-2BCE77283A2D}"/>
    <cellStyle name="Percent 6" xfId="25" xr:uid="{5F769852-2ED1-4BFE-AD40-8ADC47F10475}"/>
    <cellStyle name="qa_check" xfId="31" xr:uid="{83ACEA56-59CC-4C79-B12D-3EBC9C4A73AD}"/>
  </cellStyles>
  <dxfs count="87">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wrapText="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alignment horizontal="righ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bottom" textRotation="0" wrapText="0" indent="0" justifyLastLine="0" shrinkToFit="0" readingOrder="0"/>
    </dxf>
    <dxf>
      <border>
        <bottom style="thin">
          <color auto="1"/>
        </bottom>
      </border>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ENERGY CONSUMPTION IN UK (1970-2023)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264219329612346E-2"/>
          <c:y val="0.11654139762436443"/>
          <c:w val="0.92273578067038764"/>
          <c:h val="0.77594018467518655"/>
        </c:manualLayout>
      </c:layout>
      <c:lineChart>
        <c:grouping val="standard"/>
        <c:varyColors val="0"/>
        <c:ser>
          <c:idx val="0"/>
          <c:order val="0"/>
          <c:tx>
            <c:strRef>
              <c:f>'Energy Conumption'!$BM$6</c:f>
              <c:strCache>
                <c:ptCount val="1"/>
                <c:pt idx="0">
                  <c:v>Energy KTOe (Kilotonne) </c:v>
                </c:pt>
              </c:strCache>
            </c:strRef>
          </c:tx>
          <c:spPr>
            <a:ln w="28575" cap="rnd">
              <a:solidFill>
                <a:schemeClr val="accent1"/>
              </a:solidFill>
              <a:round/>
            </a:ln>
            <a:effectLst/>
          </c:spPr>
          <c:marker>
            <c:symbol val="none"/>
          </c:marker>
          <c:cat>
            <c:numRef>
              <c:f>'Energy Conumption'!$BL$7:$BL$60</c:f>
              <c:numCache>
                <c:formatCode>General</c:formatCode>
                <c:ptCount val="54"/>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numCache>
            </c:numRef>
          </c:cat>
          <c:val>
            <c:numRef>
              <c:f>'Energy Conumption'!$BM$7:$BM$60</c:f>
              <c:numCache>
                <c:formatCode>#,##0</c:formatCode>
                <c:ptCount val="54"/>
                <c:pt idx="0">
                  <c:v>614383</c:v>
                </c:pt>
                <c:pt idx="1">
                  <c:v>606128</c:v>
                </c:pt>
                <c:pt idx="2">
                  <c:v>617854</c:v>
                </c:pt>
                <c:pt idx="3">
                  <c:v>649594</c:v>
                </c:pt>
                <c:pt idx="4">
                  <c:v>621351</c:v>
                </c:pt>
                <c:pt idx="5">
                  <c:v>596636</c:v>
                </c:pt>
                <c:pt idx="6">
                  <c:v>612282</c:v>
                </c:pt>
                <c:pt idx="7">
                  <c:v>625117</c:v>
                </c:pt>
                <c:pt idx="8">
                  <c:v>633262</c:v>
                </c:pt>
                <c:pt idx="9">
                  <c:v>659401</c:v>
                </c:pt>
                <c:pt idx="10">
                  <c:v>607220</c:v>
                </c:pt>
                <c:pt idx="11">
                  <c:v>590277</c:v>
                </c:pt>
                <c:pt idx="12">
                  <c:v>584552</c:v>
                </c:pt>
                <c:pt idx="13">
                  <c:v>582955</c:v>
                </c:pt>
                <c:pt idx="14">
                  <c:v>582899</c:v>
                </c:pt>
                <c:pt idx="15">
                  <c:v>607949</c:v>
                </c:pt>
                <c:pt idx="16">
                  <c:v>625409.99999999988</c:v>
                </c:pt>
                <c:pt idx="17">
                  <c:v>628532</c:v>
                </c:pt>
                <c:pt idx="18">
                  <c:v>640447</c:v>
                </c:pt>
                <c:pt idx="19">
                  <c:v>632463.80000000005</c:v>
                </c:pt>
                <c:pt idx="20">
                  <c:v>637836.80000000005</c:v>
                </c:pt>
                <c:pt idx="21">
                  <c:v>655757</c:v>
                </c:pt>
                <c:pt idx="22">
                  <c:v>653683.4</c:v>
                </c:pt>
                <c:pt idx="23">
                  <c:v>660449.6</c:v>
                </c:pt>
                <c:pt idx="24">
                  <c:v>659843.6</c:v>
                </c:pt>
                <c:pt idx="25">
                  <c:v>650774.82827171101</c:v>
                </c:pt>
                <c:pt idx="26">
                  <c:v>678212.31720209005</c:v>
                </c:pt>
                <c:pt idx="27">
                  <c:v>666190.7047711676</c:v>
                </c:pt>
                <c:pt idx="28">
                  <c:v>674138.26760766504</c:v>
                </c:pt>
                <c:pt idx="29">
                  <c:v>677250.43870195665</c:v>
                </c:pt>
                <c:pt idx="30">
                  <c:v>688340.45326725347</c:v>
                </c:pt>
                <c:pt idx="31">
                  <c:v>694260.2013404395</c:v>
                </c:pt>
                <c:pt idx="32">
                  <c:v>677396.19664049649</c:v>
                </c:pt>
                <c:pt idx="33">
                  <c:v>684351.80884564423</c:v>
                </c:pt>
                <c:pt idx="34">
                  <c:v>691921.26444221428</c:v>
                </c:pt>
                <c:pt idx="35">
                  <c:v>691254.59674742271</c:v>
                </c:pt>
                <c:pt idx="36">
                  <c:v>680742.06728303828</c:v>
                </c:pt>
                <c:pt idx="37">
                  <c:v>670222.95675600134</c:v>
                </c:pt>
                <c:pt idx="38">
                  <c:v>667898.10318654554</c:v>
                </c:pt>
                <c:pt idx="39">
                  <c:v>629124.39892197994</c:v>
                </c:pt>
                <c:pt idx="40">
                  <c:v>653678.24075496616</c:v>
                </c:pt>
                <c:pt idx="41">
                  <c:v>606112.08813676529</c:v>
                </c:pt>
                <c:pt idx="42">
                  <c:v>620162.64142686734</c:v>
                </c:pt>
                <c:pt idx="43">
                  <c:v>625504.19651272392</c:v>
                </c:pt>
                <c:pt idx="44">
                  <c:v>594267.13080840441</c:v>
                </c:pt>
                <c:pt idx="45">
                  <c:v>600847.73579064792</c:v>
                </c:pt>
                <c:pt idx="46">
                  <c:v>609080.70158634207</c:v>
                </c:pt>
                <c:pt idx="47">
                  <c:v>610780.40556041501</c:v>
                </c:pt>
                <c:pt idx="48">
                  <c:v>617635.40534428158</c:v>
                </c:pt>
                <c:pt idx="49">
                  <c:v>606855.92182343593</c:v>
                </c:pt>
                <c:pt idx="50">
                  <c:v>534297.82521977043</c:v>
                </c:pt>
                <c:pt idx="51">
                  <c:v>559412.52962472406</c:v>
                </c:pt>
                <c:pt idx="52">
                  <c:v>550923.21569273097</c:v>
                </c:pt>
                <c:pt idx="53">
                  <c:v>508132.96979801828</c:v>
                </c:pt>
              </c:numCache>
            </c:numRef>
          </c:val>
          <c:smooth val="0"/>
          <c:extLst>
            <c:ext xmlns:c16="http://schemas.microsoft.com/office/drawing/2014/chart" uri="{C3380CC4-5D6E-409C-BE32-E72D297353CC}">
              <c16:uniqueId val="{00000000-3AA9-4B2F-9265-3DD51CCE7D55}"/>
            </c:ext>
          </c:extLst>
        </c:ser>
        <c:dLbls>
          <c:showLegendKey val="0"/>
          <c:showVal val="0"/>
          <c:showCatName val="0"/>
          <c:showSerName val="0"/>
          <c:showPercent val="0"/>
          <c:showBubbleSize val="0"/>
        </c:dLbls>
        <c:smooth val="0"/>
        <c:axId val="1120979360"/>
        <c:axId val="1120983200"/>
      </c:lineChart>
      <c:catAx>
        <c:axId val="112097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83200"/>
        <c:crosses val="autoZero"/>
        <c:auto val="1"/>
        <c:lblAlgn val="ctr"/>
        <c:lblOffset val="100"/>
        <c:noMultiLvlLbl val="0"/>
      </c:catAx>
      <c:valAx>
        <c:axId val="1120983200"/>
        <c:scaling>
          <c:orientation val="minMax"/>
          <c:min val="5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baseline="0"/>
                  <a:t>ENERGY KTOe (Killotonne)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7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[1]Data!$B$6:$B$25</c:f>
              <c:strCache>
                <c:ptCount val="20"/>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strCache>
            </c:strRef>
          </c:cat>
          <c:val>
            <c:numRef>
              <c:f>[1]Data!$C$6:$C$25</c:f>
              <c:numCache>
                <c:formatCode>General</c:formatCode>
                <c:ptCount val="20"/>
                <c:pt idx="0">
                  <c:v>9.69</c:v>
                </c:pt>
                <c:pt idx="1">
                  <c:v>9.77</c:v>
                </c:pt>
                <c:pt idx="2">
                  <c:v>9.64</c:v>
                </c:pt>
                <c:pt idx="3">
                  <c:v>9.3800000000000008</c:v>
                </c:pt>
                <c:pt idx="4">
                  <c:v>9.2100000000000009</c:v>
                </c:pt>
                <c:pt idx="5">
                  <c:v>8.75</c:v>
                </c:pt>
                <c:pt idx="6">
                  <c:v>8.93</c:v>
                </c:pt>
                <c:pt idx="7">
                  <c:v>8.43</c:v>
                </c:pt>
                <c:pt idx="8">
                  <c:v>8.57</c:v>
                </c:pt>
                <c:pt idx="9">
                  <c:v>8.56</c:v>
                </c:pt>
                <c:pt idx="10">
                  <c:v>8.09</c:v>
                </c:pt>
                <c:pt idx="11">
                  <c:v>8.2100000000000009</c:v>
                </c:pt>
                <c:pt idx="12">
                  <c:v>8.08</c:v>
                </c:pt>
                <c:pt idx="13">
                  <c:v>8.1</c:v>
                </c:pt>
                <c:pt idx="14">
                  <c:v>8.09</c:v>
                </c:pt>
                <c:pt idx="15">
                  <c:v>7.92</c:v>
                </c:pt>
                <c:pt idx="16">
                  <c:v>7.1</c:v>
                </c:pt>
                <c:pt idx="17">
                  <c:v>7.17</c:v>
                </c:pt>
                <c:pt idx="18">
                  <c:v>7.27</c:v>
                </c:pt>
                <c:pt idx="19">
                  <c:v>6.95</c:v>
                </c:pt>
              </c:numCache>
            </c:numRef>
          </c:val>
          <c:smooth val="0"/>
          <c:extLst>
            <c:ext xmlns:c16="http://schemas.microsoft.com/office/drawing/2014/chart" uri="{C3380CC4-5D6E-409C-BE32-E72D297353CC}">
              <c16:uniqueId val="{00000001-D5E4-41AA-A3F8-7941373D2905}"/>
            </c:ext>
          </c:extLst>
        </c:ser>
        <c:dLbls>
          <c:showLegendKey val="0"/>
          <c:showVal val="0"/>
          <c:showCatName val="0"/>
          <c:showSerName val="0"/>
          <c:showPercent val="0"/>
          <c:showBubbleSize val="0"/>
        </c:dLbls>
        <c:smooth val="0"/>
        <c:axId val="1076120111"/>
        <c:axId val="1076129231"/>
      </c:lineChart>
      <c:catAx>
        <c:axId val="10761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29231"/>
        <c:crosses val="autoZero"/>
        <c:auto val="1"/>
        <c:lblAlgn val="ctr"/>
        <c:lblOffset val="100"/>
        <c:noMultiLvlLbl val="0"/>
      </c:catAx>
      <c:valAx>
        <c:axId val="107612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2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51</xdr:col>
      <xdr:colOff>876941</xdr:colOff>
      <xdr:row>18</xdr:row>
      <xdr:rowOff>105677</xdr:rowOff>
    </xdr:from>
    <xdr:to>
      <xdr:col>60</xdr:col>
      <xdr:colOff>484726</xdr:colOff>
      <xdr:row>49</xdr:row>
      <xdr:rowOff>78612</xdr:rowOff>
    </xdr:to>
    <xdr:graphicFrame macro="">
      <xdr:nvGraphicFramePr>
        <xdr:cNvPr id="8" name="Chart 7">
          <a:extLst>
            <a:ext uri="{FF2B5EF4-FFF2-40B4-BE49-F238E27FC236}">
              <a16:creationId xmlns:a16="http://schemas.microsoft.com/office/drawing/2014/main" id="{EB9DDB24-528C-8B12-E582-04277D766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41275</xdr:colOff>
      <xdr:row>8</xdr:row>
      <xdr:rowOff>38100</xdr:rowOff>
    </xdr:from>
    <xdr:to>
      <xdr:col>15</xdr:col>
      <xdr:colOff>123825</xdr:colOff>
      <xdr:row>25</xdr:row>
      <xdr:rowOff>82550</xdr:rowOff>
    </xdr:to>
    <xdr:graphicFrame macro="">
      <xdr:nvGraphicFramePr>
        <xdr:cNvPr id="2" name="Chart 1">
          <a:extLst>
            <a:ext uri="{FF2B5EF4-FFF2-40B4-BE49-F238E27FC236}">
              <a16:creationId xmlns:a16="http://schemas.microsoft.com/office/drawing/2014/main" id="{F55D4FF3-C9FF-4C7D-9D57-EF48FBA30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91773\Downloads\statistic_id332514_primary-energy-consumption-in-the-united-kingdom--uk--2004-2023%20(1).xlsx" TargetMode="External"/><Relationship Id="rId1" Type="http://schemas.openxmlformats.org/officeDocument/2006/relationships/externalLinkPath" Target="statistic_id332514_primary-energy-consumption-in-the-united-kingdom--uk--2004-202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Data"/>
    </sheetNames>
    <sheetDataSet>
      <sheetData sheetId="0"/>
      <sheetData sheetId="1">
        <row r="6">
          <cell r="B6" t="str">
            <v>2004</v>
          </cell>
          <cell r="C6">
            <v>9.69</v>
          </cell>
        </row>
        <row r="7">
          <cell r="B7" t="str">
            <v>2005</v>
          </cell>
          <cell r="C7">
            <v>9.77</v>
          </cell>
        </row>
        <row r="8">
          <cell r="B8" t="str">
            <v>2006</v>
          </cell>
          <cell r="C8">
            <v>9.64</v>
          </cell>
        </row>
        <row r="9">
          <cell r="B9" t="str">
            <v>2007</v>
          </cell>
          <cell r="C9">
            <v>9.3800000000000008</v>
          </cell>
        </row>
        <row r="10">
          <cell r="B10" t="str">
            <v>2008</v>
          </cell>
          <cell r="C10">
            <v>9.2100000000000009</v>
          </cell>
        </row>
        <row r="11">
          <cell r="B11" t="str">
            <v>2009</v>
          </cell>
          <cell r="C11">
            <v>8.75</v>
          </cell>
        </row>
        <row r="12">
          <cell r="B12" t="str">
            <v>2010</v>
          </cell>
          <cell r="C12">
            <v>8.93</v>
          </cell>
        </row>
        <row r="13">
          <cell r="B13" t="str">
            <v>2011</v>
          </cell>
          <cell r="C13">
            <v>8.43</v>
          </cell>
        </row>
        <row r="14">
          <cell r="B14" t="str">
            <v>2012</v>
          </cell>
          <cell r="C14">
            <v>8.57</v>
          </cell>
        </row>
        <row r="15">
          <cell r="B15" t="str">
            <v>2013</v>
          </cell>
          <cell r="C15">
            <v>8.56</v>
          </cell>
        </row>
        <row r="16">
          <cell r="B16" t="str">
            <v>2014</v>
          </cell>
          <cell r="C16">
            <v>8.09</v>
          </cell>
        </row>
        <row r="17">
          <cell r="B17" t="str">
            <v>2015</v>
          </cell>
          <cell r="C17">
            <v>8.2100000000000009</v>
          </cell>
        </row>
        <row r="18">
          <cell r="B18" t="str">
            <v>2016</v>
          </cell>
          <cell r="C18">
            <v>8.08</v>
          </cell>
        </row>
        <row r="19">
          <cell r="B19" t="str">
            <v>2017</v>
          </cell>
          <cell r="C19">
            <v>8.1</v>
          </cell>
        </row>
        <row r="20">
          <cell r="B20" t="str">
            <v>2018</v>
          </cell>
          <cell r="C20">
            <v>8.09</v>
          </cell>
        </row>
        <row r="21">
          <cell r="B21" t="str">
            <v>2019</v>
          </cell>
          <cell r="C21">
            <v>7.92</v>
          </cell>
        </row>
        <row r="22">
          <cell r="B22" t="str">
            <v>2020</v>
          </cell>
          <cell r="C22">
            <v>7.1</v>
          </cell>
        </row>
        <row r="23">
          <cell r="B23" t="str">
            <v>2021</v>
          </cell>
          <cell r="C23">
            <v>7.17</v>
          </cell>
        </row>
        <row r="24">
          <cell r="B24" t="str">
            <v>2022</v>
          </cell>
          <cell r="C24">
            <v>7.27</v>
          </cell>
        </row>
        <row r="25">
          <cell r="B25" t="str">
            <v>2023</v>
          </cell>
          <cell r="C25">
            <v>6.95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C7438-C5FD-4A71-A7BD-E31394E23090}" name="road_transport_fec" displayName="road_transport_fec" ref="BF6:BK60" totalsRowCount="1" headerRowDxfId="86" dataDxfId="84" headerRowBorderDxfId="85">
  <autoFilter ref="BF6:BK59" xr:uid="{7D7C7438-C5FD-4A71-A7BD-E31394E23090}"/>
  <tableColumns count="6">
    <tableColumn id="1" xr3:uid="{DAAE30B7-00A6-4E37-A668-BC5F1743B806}" name="Year" dataDxfId="83" totalsRowDxfId="82" dataCellStyle="Normal 13 2" totalsRowCellStyle="Normal 13 2"/>
    <tableColumn id="2" xr3:uid="{4CB7B230-5B23-4AC8-BB4D-4E62BF5709EB}" name="Passenger - Petroleum" dataDxfId="81" totalsRowDxfId="80"/>
    <tableColumn id="3" xr3:uid="{363726C5-D8C2-454D-A9F4-7D483F14507C}" name="Passenger - Bioenergy &amp; waste" dataDxfId="79" totalsRowDxfId="78"/>
    <tableColumn id="4" xr3:uid="{C85D35CA-5575-4BF1-AB36-2ECB0A463341}" name="Freight - Petroleum" dataDxfId="77" totalsRowDxfId="76"/>
    <tableColumn id="5" xr3:uid="{E7BDB0B4-5116-417E-9A04-6D7EE132BA3B}" name="Freight - Bioenergy &amp; waste" dataDxfId="75" totalsRowDxfId="74"/>
    <tableColumn id="6" xr3:uid="{14C0A8EA-4860-42E5-B55E-D76BBDC2F7CC}" name="Column1" totalsRowFunction="custom" dataDxfId="73" totalsRowDxfId="72">
      <calculatedColumnFormula>SUM(B7:BJ7)</calculatedColumnFormula>
      <totalsRowFormula>SUM(B60:BE60)</totalsRow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669BD-820D-41E5-9130-D980A19153AA}" name="industry_fec" displayName="industry_fec" ref="A6:L60" totalsRowShown="0" headerRowDxfId="71" dataDxfId="69" headerRowBorderDxfId="70" headerRowCellStyle="Normal 13 2" dataCellStyle="Normal 13 2">
  <tableColumns count="12">
    <tableColumn id="1" xr3:uid="{1151F394-2D55-4C69-8000-CD470AA0692F}" name="Year" dataDxfId="68" dataCellStyle="Normal 13 2"/>
    <tableColumn id="2" xr3:uid="{D396407A-45C9-4969-8622-B0B912D94023}" name="Coal" dataDxfId="67" dataCellStyle="Normal 13 2"/>
    <tableColumn id="3" xr3:uid="{E37E879F-3E9A-491B-AC96-AD6CB6885C61}" name="Coke and breeze_x000a_[Note 2]" dataDxfId="66" dataCellStyle="Normal 13 2"/>
    <tableColumn id="4" xr3:uid="{68471657-F63B-47F6-BF44-A13BE845C0BD}" name="Other solid fuels_x000a_[Note 3]" dataDxfId="65" dataCellStyle="Normal 13 2"/>
    <tableColumn id="5" xr3:uid="{4806AC8B-A3BD-4327-85C1-E8E174370728}" name="Coke oven gas" dataDxfId="64" dataCellStyle="Normal 13 2"/>
    <tableColumn id="6" xr3:uid="{A2F94ACA-3B90-460C-8AD2-5E7B682CB849}" name="Town gas" dataDxfId="63" dataCellStyle="Normal 13 2"/>
    <tableColumn id="7" xr3:uid="{1E38E77C-AE27-476E-882E-0F266826CC1D}" name="Natural gas_x000a_[Note 4]" dataDxfId="62" dataCellStyle="Normal 13 2"/>
    <tableColumn id="8" xr3:uid="{5D8E0FF8-569A-4829-A924-657EBC5386D3}" name="Electricity" dataDxfId="61" dataCellStyle="Normal 13 2"/>
    <tableColumn id="9" xr3:uid="{291F78E1-EB73-4EF3-967A-400788F7599A}" name="Heat" dataDxfId="60" dataCellStyle="Normal 13 2"/>
    <tableColumn id="10" xr3:uid="{4D471CDE-DC29-4B66-BCEF-D600BD36A0FD}" name="Bioenergy &amp; waste" dataDxfId="59" dataCellStyle="Normal 13 2"/>
    <tableColumn id="11" xr3:uid="{31D354D4-4FE9-4F99-B10F-9DD50EF752B7}" name="Petroleum products" dataDxfId="58" dataCellStyle="Normal 13 2"/>
    <tableColumn id="12" xr3:uid="{18C9EEF5-968F-4623-958D-81DBE0B93FAE}" name="Total_x000a_[Note 2]" dataDxfId="57" dataCellStyle="Normal 13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361462-13B6-4C33-8277-14E0A4FC53ED}" name="transport_fec" displayName="transport_fec" ref="M6:Z60" totalsRowShown="0" headerRowDxfId="56" dataDxfId="54" headerRowBorderDxfId="55" headerRowCellStyle="Normal 13 2" dataCellStyle="Normal 13 2">
  <tableColumns count="14">
    <tableColumn id="1" xr3:uid="{1DDCAB31-B26D-412E-BDDB-06BE3EE16D88}" name="Year" dataDxfId="53" dataCellStyle="Normal 13 2"/>
    <tableColumn id="2" xr3:uid="{20735275-89D5-4846-9B66-0135E5A18751}" name="Rail - Coal" dataDxfId="52" dataCellStyle="Normal 13 2"/>
    <tableColumn id="3" xr3:uid="{DE123D89-4AEE-4EF4-A8C0-E359FDCF21D8}" name="Rail - Coke and breeze" dataDxfId="51" dataCellStyle="Normal 13 2"/>
    <tableColumn id="4" xr3:uid="{7186D419-274C-4DEF-8282-04FFECA94B35}" name="Rail - Electricity_x000a_[Note 5]" dataDxfId="50" dataCellStyle="Normal 13 2"/>
    <tableColumn id="5" xr3:uid="{D5BFD574-BCE4-44A2-A187-FF42DA997ADC}" name="Rail - Petroleum" dataDxfId="49" dataCellStyle="Normal 13 2"/>
    <tableColumn id="6" xr3:uid="{04ED7736-00A8-4818-86A0-4044244037F3}" name="Road - Electricity" dataDxfId="48" dataCellStyle="Normal 13 2"/>
    <tableColumn id="7" xr3:uid="{B8F5876E-3FA1-4527-B3C9-401C7939BAE3}" name="Road - Petroleum" dataDxfId="47" dataCellStyle="Normal 13 2"/>
    <tableColumn id="8" xr3:uid="{66304B50-CB4C-4238-992D-B8CF878827F5}" name="Road - Bioenergy &amp; waste" dataDxfId="46" dataCellStyle="Normal 13 2"/>
    <tableColumn id="9" xr3:uid="{A8DC299F-5BAF-479E-8C51-804608DD4A88}" name="Road - Natural gas" dataDxfId="45" dataCellStyle="Normal 13 2"/>
    <tableColumn id="10" xr3:uid="{A8C2EF9B-1FAB-456F-9B9F-9C2093E519D1}" name="Water - Coal" dataDxfId="44" dataCellStyle="Normal 13 2"/>
    <tableColumn id="11" xr3:uid="{BD65CB04-E048-4446-9F3A-A9B6A8CD06AC}" name="Water - Petroleum" dataDxfId="43" dataCellStyle="Normal 13 2"/>
    <tableColumn id="12" xr3:uid="{71F9857A-CA80-4807-A4D5-4F49DE3022D8}" name="Air - Petroleum" dataDxfId="42" dataCellStyle="Normal 13 2"/>
    <tableColumn id="14" xr3:uid="{653EC7B4-00B1-4474-81FD-E619C5327B87}" name="Air - Bioenergy &amp; waste" dataDxfId="41" dataCellStyle="Normal 13 2"/>
    <tableColumn id="13" xr3:uid="{AF97FC16-E75F-42A2-AA19-ED31E2E21BAC}" name="Total_x000a_" dataDxfId="40" dataCellStyle="Normal 13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D4701-D766-49C2-A1C8-C24DF56DB392}" name="domestic_fec" displayName="domestic_fec" ref="AA6:AJ60" totalsRowShown="0" headerRowDxfId="39" dataDxfId="37" headerRowBorderDxfId="38" headerRowCellStyle="Normal 13 2" dataCellStyle="Normal 13 2">
  <tableColumns count="10">
    <tableColumn id="1" xr3:uid="{1135AACE-6314-4C88-AA5E-5D355C6F32C0}" name="Year" dataDxfId="36" dataCellStyle="Normal 13 2"/>
    <tableColumn id="2" xr3:uid="{C6215E7E-7F73-41B2-BFB7-825569BB831A}" name="Coal" dataDxfId="35" dataCellStyle="Normal 13 2"/>
    <tableColumn id="3" xr3:uid="{2C847ACB-A1DA-4B89-A2E9-0773ECB12816}" name="Coke and breeze" dataDxfId="34" dataCellStyle="Normal 13 2"/>
    <tableColumn id="4" xr3:uid="{36BE2A1B-EC06-4F7B-8253-A026FFDA6DA3}" name="Other solid fuels_x000a_[Note 3]" dataDxfId="33" dataCellStyle="Normal 13 2"/>
    <tableColumn id="5" xr3:uid="{C1FBC9D6-9B56-4C41-B3D3-A2C0F2711C4B}" name="Natural gas" dataDxfId="32" dataCellStyle="Normal 13 2"/>
    <tableColumn id="6" xr3:uid="{D068047D-4E46-43DD-89AE-0D32BB8477BD}" name="Electricity" dataDxfId="31" dataCellStyle="Normal 13 2"/>
    <tableColumn id="7" xr3:uid="{30633BA2-155F-4B9C-9BDB-7E8D76AF6F20}" name="Heat" dataDxfId="30" dataCellStyle="Normal 13 2"/>
    <tableColumn id="8" xr3:uid="{BDD36C1A-26B6-4251-B2B6-1A1A59603508}" name="Bioenergy &amp; waste" dataDxfId="29" dataCellStyle="Normal 13 2"/>
    <tableColumn id="9" xr3:uid="{B1C7626B-B5BC-4234-9A34-25FBFEE71867}" name="Petroleum" dataDxfId="28" dataCellStyle="Normal 13 2"/>
    <tableColumn id="10" xr3:uid="{18FB7202-9306-4111-969D-398284FF7CF3}" name="Total" dataDxfId="27" dataCellStyle="Normal 13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F8F35E-AEBB-4DF4-B8BD-F6B0DB29433D}" name="services_fec" displayName="services_fec" ref="AK6:AS60" totalsRowShown="0" headerRowDxfId="26" dataDxfId="24" headerRowBorderDxfId="25" headerRowCellStyle="Normal 13 2" dataCellStyle="Normal 13 2">
  <tableColumns count="9">
    <tableColumn id="1" xr3:uid="{57C629D9-2718-4470-8B2E-618853DDBDD0}" name="Year" dataDxfId="23" dataCellStyle="Normal 13 2"/>
    <tableColumn id="2" xr3:uid="{13E3CAA1-B5C2-43D3-B672-D377556399B2}" name="Coal" dataDxfId="22" dataCellStyle="Normal 13 2"/>
    <tableColumn id="3" xr3:uid="{55A62037-5A01-4B3B-AB99-BD319C95748A}" name="Coke and breeze" dataDxfId="21" dataCellStyle="Normal 13 2"/>
    <tableColumn id="4" xr3:uid="{1FC22FA4-0301-4A60-84EF-BAE042AD4FC4}" name="Natural gas" dataDxfId="20" dataCellStyle="Normal 13 2"/>
    <tableColumn id="5" xr3:uid="{D46EFDAC-50A5-46FE-B7FF-74AE429C0624}" name="Electricity" dataDxfId="19" dataCellStyle="Normal 13 2"/>
    <tableColumn id="6" xr3:uid="{F8F7B56E-0C59-4FDC-B901-E836BB32C65E}" name="Heat" dataDxfId="18" dataCellStyle="Normal 13 2"/>
    <tableColumn id="7" xr3:uid="{75ACDB60-CF3D-47F2-B566-054D2C64B088}" name="Bioenergy &amp; waste" dataDxfId="17" dataCellStyle="Normal 13 2"/>
    <tableColumn id="8" xr3:uid="{5316F7AA-4CE7-48C5-A1F8-59B0AE7C4430}" name="Petroleum" dataDxfId="16" dataCellStyle="Normal 13 2"/>
    <tableColumn id="9" xr3:uid="{99C72E57-6453-4D9C-B7F4-04D3805BF116}" name="Total" dataDxfId="15" dataCellStyle="Normal 13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FEE088-DE80-4C41-B3F5-13E98CE03ACE}" name="all_fec" displayName="all_fec" ref="AT6:BE60" totalsRowShown="0" headerRowDxfId="14" dataDxfId="12" headerRowBorderDxfId="13" headerRowCellStyle="Normal 13 2" dataCellStyle="Normal 13 2">
  <tableColumns count="12">
    <tableColumn id="1" xr3:uid="{D8427C0F-1B05-4716-A0ED-45BA3648A199}" name="Year" dataDxfId="11" dataCellStyle="Normal 13 2"/>
    <tableColumn id="2" xr3:uid="{9C9792B1-1C40-413F-9555-DA87F666888A}" name="Coal" dataDxfId="10" dataCellStyle="Normal 13 2"/>
    <tableColumn id="3" xr3:uid="{77F4C64A-90A1-47D1-B25E-6D53553C8AEB}" name="Coke and breeze" dataDxfId="9" dataCellStyle="Normal 13 2"/>
    <tableColumn id="4" xr3:uid="{18C34680-B5B5-400B-BC5C-30043AC583DF}" name="Other solid fuels_x000a_[Note 3]" dataDxfId="8" dataCellStyle="Normal 13 2"/>
    <tableColumn id="5" xr3:uid="{14AF33ED-F148-4DB1-B8BF-FE80A5DBCF84}" name="Coke oven gas" dataDxfId="7" dataCellStyle="Normal 13 2"/>
    <tableColumn id="6" xr3:uid="{93D37898-457C-461F-AF84-F5C6A1D06F56}" name="Town gas" dataDxfId="6" dataCellStyle="Normal 13 2"/>
    <tableColumn id="7" xr3:uid="{DE9DA71F-1E6E-4D7B-88B7-F55D28021296}" name="Natural gas [Note 4]" dataDxfId="5" dataCellStyle="Normal 13 2"/>
    <tableColumn id="8" xr3:uid="{4A38A03E-A1EC-4688-8BCC-CE75A955D3A5}" name="Electricity" dataDxfId="4" dataCellStyle="Normal 13 2"/>
    <tableColumn id="9" xr3:uid="{1A02CCC9-D33C-415D-9B75-1D2D48DBF933}" name="Heat" dataDxfId="3" dataCellStyle="Normal 13 2"/>
    <tableColumn id="10" xr3:uid="{504E3342-7FCE-4BA3-8BA6-8A13A24B89BB}" name="Bioenergy &amp; waste" dataDxfId="2" dataCellStyle="Normal 13 2"/>
    <tableColumn id="11" xr3:uid="{551CD6F6-38C4-429D-ABD6-C74E20385071}" name="Petroleum" dataDxfId="1" dataCellStyle="Normal 13 2"/>
    <tableColumn id="12" xr3:uid="{E0F1B7F8-41FC-41EA-845E-6EA219ECBBEA}" name="Total_x000a_[Note 2]_x000a_[Note 6]" dataDxfId="0" dataCellStyle="Normal 13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www.statista.com/statistics/332514/primary-energy-consumption-in-the-united-kingdom-u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9209-C212-4BF7-9943-EC3D223233E9}">
  <dimension ref="A1:XFD87"/>
  <sheetViews>
    <sheetView tabSelected="1" topLeftCell="BE24" zoomScale="78" workbookViewId="0">
      <selection activeCell="BM7" sqref="BM7:BM60"/>
    </sheetView>
  </sheetViews>
  <sheetFormatPr defaultColWidth="8.6640625" defaultRowHeight="14"/>
  <cols>
    <col min="1" max="1" width="11" style="4" customWidth="1"/>
    <col min="2" max="2" width="10.6640625" style="4" customWidth="1"/>
    <col min="3" max="4" width="15.9140625" style="4" customWidth="1"/>
    <col min="5" max="5" width="17" style="4" customWidth="1"/>
    <col min="6" max="6" width="12.33203125" style="4" customWidth="1"/>
    <col min="7" max="7" width="12" style="4" customWidth="1"/>
    <col min="8" max="8" width="12.4140625" style="4" customWidth="1"/>
    <col min="9" max="9" width="8.6640625" style="4"/>
    <col min="10" max="10" width="16.1640625" style="4" customWidth="1"/>
    <col min="11" max="11" width="18.75" style="4" customWidth="1"/>
    <col min="12" max="13" width="8.6640625" style="4"/>
    <col min="14" max="14" width="13.25" style="4" customWidth="1"/>
    <col min="15" max="15" width="23.33203125" style="4" customWidth="1"/>
    <col min="16" max="16" width="14.1640625" style="4" customWidth="1"/>
    <col min="17" max="17" width="19.25" style="4" customWidth="1"/>
    <col min="18" max="19" width="19.75" style="4" customWidth="1"/>
    <col min="20" max="20" width="28" style="4" customWidth="1"/>
    <col min="21" max="21" width="21.5" style="4" customWidth="1"/>
    <col min="22" max="22" width="15.1640625" style="4" customWidth="1"/>
    <col min="23" max="23" width="20.58203125" style="4" customWidth="1"/>
    <col min="24" max="24" width="17.83203125" style="4" customWidth="1"/>
    <col min="25" max="25" width="21.08203125" style="4" bestFit="1" customWidth="1"/>
    <col min="26" max="28" width="8.6640625" style="4"/>
    <col min="29" max="30" width="17.83203125" style="4" customWidth="1"/>
    <col min="31" max="31" width="11.5" style="4" customWidth="1"/>
    <col min="32" max="32" width="12.4140625" style="4" customWidth="1"/>
    <col min="33" max="33" width="8.6640625" style="4"/>
    <col min="34" max="34" width="20.6640625" style="4" customWidth="1"/>
    <col min="35" max="35" width="13.25" style="4" customWidth="1"/>
    <col min="36" max="36" width="11.5" style="4" customWidth="1"/>
    <col min="37" max="38" width="8.6640625" style="4"/>
    <col min="39" max="39" width="15.08203125" style="4" customWidth="1"/>
    <col min="40" max="40" width="12.33203125" style="4" customWidth="1"/>
    <col min="41" max="41" width="10.58203125" style="4" customWidth="1"/>
    <col min="42" max="42" width="8.6640625" style="4"/>
    <col min="43" max="43" width="17.83203125" style="4" customWidth="1"/>
    <col min="44" max="44" width="11.4140625" style="4" customWidth="1"/>
    <col min="45" max="47" width="8.6640625" style="4"/>
    <col min="48" max="48" width="16.08203125" style="4" customWidth="1"/>
    <col min="49" max="49" width="15.25" style="4" customWidth="1"/>
    <col min="50" max="50" width="15.08203125" style="4" customWidth="1"/>
    <col min="51" max="51" width="10.58203125" style="4" customWidth="1"/>
    <col min="52" max="52" width="12.33203125" style="4" customWidth="1"/>
    <col min="53" max="53" width="11" style="4" customWidth="1"/>
    <col min="54" max="54" width="8.6640625" style="4"/>
    <col min="55" max="55" width="16.1640625" style="4" customWidth="1"/>
    <col min="56" max="56" width="18.83203125" style="4" customWidth="1"/>
    <col min="57" max="57" width="12" style="4" customWidth="1"/>
    <col min="58" max="58" width="10.08203125" customWidth="1"/>
    <col min="59" max="59" width="21.5" style="4" customWidth="1"/>
    <col min="60" max="60" width="28" style="4" customWidth="1"/>
    <col min="61" max="61" width="18.33203125" style="4" customWidth="1"/>
    <col min="62" max="62" width="17.83203125" style="4" customWidth="1"/>
    <col min="63" max="64" width="8.6640625" style="4"/>
    <col min="65" max="65" width="17.25" style="4" customWidth="1"/>
    <col min="66" max="16384" width="8.6640625" style="4"/>
  </cols>
  <sheetData>
    <row r="1" spans="1:65 16384:16384" ht="28.5">
      <c r="A1" s="1" t="s">
        <v>0</v>
      </c>
      <c r="B1" s="2"/>
      <c r="C1" s="2"/>
      <c r="D1" s="2"/>
      <c r="E1" s="2"/>
      <c r="F1" s="2"/>
      <c r="G1" s="2"/>
      <c r="H1" s="3"/>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4"/>
    </row>
    <row r="2" spans="1:65 16384:16384" s="5" customFormat="1" ht="20.25" customHeight="1">
      <c r="A2" s="5" t="s">
        <v>1</v>
      </c>
    </row>
    <row r="3" spans="1:65 16384:16384" s="5" customFormat="1" ht="20.25" customHeight="1">
      <c r="A3" s="5" t="s">
        <v>2</v>
      </c>
    </row>
    <row r="4" spans="1:65 16384:16384" s="5" customFormat="1" ht="20.25" customHeight="1">
      <c r="A4" s="5" t="s">
        <v>3</v>
      </c>
    </row>
    <row r="5" spans="1:65 16384:16384" ht="20.25" customHeight="1">
      <c r="A5" s="6" t="s">
        <v>4</v>
      </c>
      <c r="B5" s="6"/>
      <c r="C5" s="7"/>
      <c r="D5" s="7"/>
      <c r="E5" s="7"/>
      <c r="F5" s="7"/>
      <c r="G5" s="7"/>
      <c r="H5" s="8"/>
      <c r="I5" s="8"/>
      <c r="J5" s="7"/>
      <c r="K5" s="8"/>
      <c r="L5" s="8"/>
      <c r="M5" s="9" t="s">
        <v>5</v>
      </c>
      <c r="N5" s="8"/>
      <c r="O5" s="7"/>
      <c r="P5" s="7"/>
      <c r="Q5" s="8"/>
      <c r="R5" s="8"/>
      <c r="S5" s="8"/>
      <c r="T5" s="7"/>
      <c r="U5" s="7"/>
      <c r="V5" s="8"/>
      <c r="W5" s="8"/>
      <c r="X5" s="8"/>
      <c r="Y5" s="8"/>
      <c r="Z5" s="10"/>
      <c r="AA5" s="9" t="s">
        <v>6</v>
      </c>
      <c r="AB5" s="8"/>
      <c r="AC5" s="7"/>
      <c r="AD5" s="7"/>
      <c r="AE5" s="7"/>
      <c r="AF5" s="8"/>
      <c r="AG5" s="8"/>
      <c r="AH5" s="8"/>
      <c r="AI5" s="8"/>
      <c r="AJ5" s="10"/>
      <c r="AK5" s="11" t="s">
        <v>7</v>
      </c>
      <c r="AL5" s="12"/>
      <c r="AM5" s="12"/>
      <c r="AN5" s="12"/>
      <c r="AO5" s="12"/>
      <c r="AP5" s="12"/>
      <c r="AQ5" s="12"/>
      <c r="AR5" s="12"/>
      <c r="AS5" s="13"/>
      <c r="AT5" s="11" t="s">
        <v>8</v>
      </c>
      <c r="AU5" s="8"/>
      <c r="AV5" s="7"/>
      <c r="AW5" s="14"/>
      <c r="AX5" s="7"/>
      <c r="AY5" s="7"/>
      <c r="AZ5" s="14"/>
      <c r="BA5" s="8"/>
      <c r="BB5" s="8"/>
      <c r="BC5" s="7"/>
      <c r="BD5" s="8"/>
      <c r="BE5" s="10"/>
      <c r="BF5" s="11" t="s">
        <v>9</v>
      </c>
      <c r="BG5" s="15"/>
      <c r="BH5" s="16"/>
      <c r="BI5" s="16"/>
      <c r="BJ5" s="16"/>
    </row>
    <row r="6" spans="1:65 16384:16384" ht="39">
      <c r="A6" s="17" t="s">
        <v>10</v>
      </c>
      <c r="B6" s="17" t="s">
        <v>11</v>
      </c>
      <c r="C6" s="18" t="s">
        <v>12</v>
      </c>
      <c r="D6" s="18" t="s">
        <v>13</v>
      </c>
      <c r="E6" s="17" t="s">
        <v>14</v>
      </c>
      <c r="F6" s="17" t="s">
        <v>15</v>
      </c>
      <c r="G6" s="19" t="s">
        <v>16</v>
      </c>
      <c r="H6" s="17" t="s">
        <v>17</v>
      </c>
      <c r="I6" s="17" t="s">
        <v>18</v>
      </c>
      <c r="J6" s="17" t="s">
        <v>19</v>
      </c>
      <c r="K6" s="17" t="s">
        <v>20</v>
      </c>
      <c r="L6" s="18" t="s">
        <v>21</v>
      </c>
      <c r="M6" s="20" t="s">
        <v>10</v>
      </c>
      <c r="N6" s="17" t="s">
        <v>22</v>
      </c>
      <c r="O6" s="18" t="s">
        <v>23</v>
      </c>
      <c r="P6" s="21" t="s">
        <v>24</v>
      </c>
      <c r="Q6" s="17" t="s">
        <v>25</v>
      </c>
      <c r="R6" s="17" t="s">
        <v>26</v>
      </c>
      <c r="S6" s="17" t="s">
        <v>27</v>
      </c>
      <c r="T6" s="17" t="s">
        <v>28</v>
      </c>
      <c r="U6" s="17" t="s">
        <v>29</v>
      </c>
      <c r="V6" s="17" t="s">
        <v>30</v>
      </c>
      <c r="W6" s="17" t="s">
        <v>31</v>
      </c>
      <c r="X6" s="17" t="s">
        <v>32</v>
      </c>
      <c r="Y6" s="17" t="s">
        <v>33</v>
      </c>
      <c r="Z6" s="22" t="s">
        <v>34</v>
      </c>
      <c r="AA6" s="20" t="s">
        <v>10</v>
      </c>
      <c r="AB6" s="17" t="s">
        <v>11</v>
      </c>
      <c r="AC6" s="18" t="s">
        <v>35</v>
      </c>
      <c r="AD6" s="18" t="s">
        <v>13</v>
      </c>
      <c r="AE6" s="22" t="s">
        <v>36</v>
      </c>
      <c r="AF6" s="17" t="s">
        <v>17</v>
      </c>
      <c r="AG6" s="17" t="s">
        <v>18</v>
      </c>
      <c r="AH6" s="19" t="s">
        <v>19</v>
      </c>
      <c r="AI6" s="17" t="s">
        <v>37</v>
      </c>
      <c r="AJ6" s="22" t="s">
        <v>38</v>
      </c>
      <c r="AK6" s="20" t="s">
        <v>10</v>
      </c>
      <c r="AL6" s="17" t="s">
        <v>11</v>
      </c>
      <c r="AM6" s="18" t="s">
        <v>35</v>
      </c>
      <c r="AN6" s="22" t="s">
        <v>36</v>
      </c>
      <c r="AO6" s="17" t="s">
        <v>17</v>
      </c>
      <c r="AP6" s="17" t="s">
        <v>18</v>
      </c>
      <c r="AQ6" s="19" t="s">
        <v>19</v>
      </c>
      <c r="AR6" s="17" t="s">
        <v>37</v>
      </c>
      <c r="AS6" s="17" t="s">
        <v>38</v>
      </c>
      <c r="AT6" s="20" t="s">
        <v>10</v>
      </c>
      <c r="AU6" s="17" t="s">
        <v>11</v>
      </c>
      <c r="AV6" s="18" t="s">
        <v>35</v>
      </c>
      <c r="AW6" s="18" t="s">
        <v>13</v>
      </c>
      <c r="AX6" s="19" t="s">
        <v>14</v>
      </c>
      <c r="AY6" s="17" t="s">
        <v>15</v>
      </c>
      <c r="AZ6" s="18" t="s">
        <v>39</v>
      </c>
      <c r="BA6" s="17" t="s">
        <v>17</v>
      </c>
      <c r="BB6" s="17" t="s">
        <v>18</v>
      </c>
      <c r="BC6" s="19" t="s">
        <v>19</v>
      </c>
      <c r="BD6" s="17" t="s">
        <v>37</v>
      </c>
      <c r="BE6" s="18" t="s">
        <v>40</v>
      </c>
      <c r="BF6" s="20" t="s">
        <v>10</v>
      </c>
      <c r="BG6" s="23" t="s">
        <v>41</v>
      </c>
      <c r="BH6" s="23" t="s">
        <v>42</v>
      </c>
      <c r="BI6" s="23" t="s">
        <v>43</v>
      </c>
      <c r="BJ6" s="23" t="s">
        <v>44</v>
      </c>
      <c r="BK6" s="23" t="s">
        <v>46</v>
      </c>
      <c r="BL6" s="17" t="s">
        <v>48</v>
      </c>
      <c r="BM6" s="23" t="s">
        <v>47</v>
      </c>
    </row>
    <row r="7" spans="1:65 16384:16384" ht="12.5">
      <c r="A7" s="24">
        <v>1970</v>
      </c>
      <c r="B7" s="25">
        <v>12681</v>
      </c>
      <c r="C7" s="25">
        <v>9655</v>
      </c>
      <c r="D7" s="25">
        <v>209</v>
      </c>
      <c r="E7" s="25">
        <v>1164</v>
      </c>
      <c r="F7" s="25">
        <v>1778</v>
      </c>
      <c r="G7" s="25">
        <v>1788</v>
      </c>
      <c r="H7" s="25">
        <v>6275</v>
      </c>
      <c r="I7" s="25"/>
      <c r="J7" s="26" t="s">
        <v>45</v>
      </c>
      <c r="K7" s="25">
        <v>28397</v>
      </c>
      <c r="L7" s="25">
        <v>62333</v>
      </c>
      <c r="M7" s="27">
        <v>1970</v>
      </c>
      <c r="N7" s="25">
        <v>88</v>
      </c>
      <c r="O7" s="25">
        <v>35</v>
      </c>
      <c r="P7" s="25">
        <v>234</v>
      </c>
      <c r="Q7" s="25">
        <v>1254</v>
      </c>
      <c r="R7" s="26" t="s">
        <v>45</v>
      </c>
      <c r="S7" s="25">
        <v>21406</v>
      </c>
      <c r="T7" s="26" t="s">
        <v>45</v>
      </c>
      <c r="U7" s="26" t="s">
        <v>45</v>
      </c>
      <c r="V7" s="25">
        <v>103</v>
      </c>
      <c r="W7" s="25">
        <v>1184</v>
      </c>
      <c r="X7" s="25">
        <v>3869</v>
      </c>
      <c r="Y7" s="26" t="s">
        <v>45</v>
      </c>
      <c r="Z7" s="25">
        <v>28174</v>
      </c>
      <c r="AA7" s="27">
        <v>1970</v>
      </c>
      <c r="AB7" s="25">
        <v>14242</v>
      </c>
      <c r="AC7" s="25">
        <v>1761</v>
      </c>
      <c r="AD7" s="25">
        <v>1975</v>
      </c>
      <c r="AE7" s="25">
        <v>8922</v>
      </c>
      <c r="AF7" s="25">
        <v>6622</v>
      </c>
      <c r="AG7" s="26" t="s">
        <v>45</v>
      </c>
      <c r="AH7" s="26" t="s">
        <v>45</v>
      </c>
      <c r="AI7" s="25">
        <v>3363</v>
      </c>
      <c r="AJ7" s="25">
        <v>36884</v>
      </c>
      <c r="AK7" s="27">
        <v>1970</v>
      </c>
      <c r="AL7" s="25">
        <v>2723</v>
      </c>
      <c r="AM7" s="25">
        <v>1499</v>
      </c>
      <c r="AN7" s="25">
        <v>1919</v>
      </c>
      <c r="AO7" s="25">
        <v>3408</v>
      </c>
      <c r="AP7" s="26" t="s">
        <v>45</v>
      </c>
      <c r="AQ7" s="26" t="s">
        <v>45</v>
      </c>
      <c r="AR7" s="25">
        <v>9038</v>
      </c>
      <c r="AS7" s="25">
        <v>18586</v>
      </c>
      <c r="AT7" s="27">
        <v>1970</v>
      </c>
      <c r="AU7" s="25">
        <v>29822</v>
      </c>
      <c r="AV7" s="25">
        <v>12950</v>
      </c>
      <c r="AW7" s="25">
        <v>2184</v>
      </c>
      <c r="AX7" s="25">
        <v>1164</v>
      </c>
      <c r="AY7" s="25">
        <v>10746</v>
      </c>
      <c r="AZ7" s="25">
        <v>3662</v>
      </c>
      <c r="BA7" s="25">
        <v>16542</v>
      </c>
      <c r="BB7" s="26" t="s">
        <v>45</v>
      </c>
      <c r="BC7" s="26" t="s">
        <v>45</v>
      </c>
      <c r="BD7" s="25">
        <v>68511</v>
      </c>
      <c r="BE7" s="25">
        <v>145977</v>
      </c>
      <c r="BF7" s="27">
        <v>1970</v>
      </c>
      <c r="BG7" s="28">
        <v>15147.41188547379</v>
      </c>
      <c r="BH7" s="26" t="s">
        <v>45</v>
      </c>
      <c r="BI7" s="28">
        <v>6258.5881145262083</v>
      </c>
      <c r="BJ7" s="26" t="s">
        <v>45</v>
      </c>
      <c r="BK7" s="28">
        <f t="shared" ref="BK7:BK38" si="0">SUM(B7:BJ7)</f>
        <v>614383</v>
      </c>
      <c r="BL7" s="24">
        <v>1970</v>
      </c>
      <c r="BM7" s="28">
        <v>614383</v>
      </c>
      <c r="XFD7" s="29"/>
    </row>
    <row r="8" spans="1:65 16384:16384" ht="12.5">
      <c r="A8" s="24">
        <v>1971</v>
      </c>
      <c r="B8" s="25">
        <v>10232</v>
      </c>
      <c r="C8" s="25">
        <v>8298</v>
      </c>
      <c r="D8" s="25">
        <v>176</v>
      </c>
      <c r="E8" s="25">
        <v>1118</v>
      </c>
      <c r="F8" s="25">
        <v>1038</v>
      </c>
      <c r="G8" s="25">
        <v>5194</v>
      </c>
      <c r="H8" s="25">
        <v>6313</v>
      </c>
      <c r="I8" s="25"/>
      <c r="J8" s="26" t="s">
        <v>45</v>
      </c>
      <c r="K8" s="25">
        <v>28130</v>
      </c>
      <c r="L8" s="25">
        <v>60746</v>
      </c>
      <c r="M8" s="27">
        <v>1971</v>
      </c>
      <c r="N8" s="25">
        <v>68</v>
      </c>
      <c r="O8" s="25">
        <v>13</v>
      </c>
      <c r="P8" s="25">
        <v>237</v>
      </c>
      <c r="Q8" s="25">
        <v>1186</v>
      </c>
      <c r="R8" s="26" t="s">
        <v>45</v>
      </c>
      <c r="S8" s="25">
        <v>22412</v>
      </c>
      <c r="T8" s="26" t="s">
        <v>45</v>
      </c>
      <c r="U8" s="26" t="s">
        <v>45</v>
      </c>
      <c r="V8" s="25">
        <v>63</v>
      </c>
      <c r="W8" s="25">
        <v>1081</v>
      </c>
      <c r="X8" s="25">
        <v>4247</v>
      </c>
      <c r="Y8" s="26" t="s">
        <v>45</v>
      </c>
      <c r="Z8" s="25">
        <v>29306</v>
      </c>
      <c r="AA8" s="27">
        <v>1971</v>
      </c>
      <c r="AB8" s="25">
        <v>12164</v>
      </c>
      <c r="AC8" s="25">
        <v>1136</v>
      </c>
      <c r="AD8" s="25">
        <v>2156</v>
      </c>
      <c r="AE8" s="25">
        <v>9900</v>
      </c>
      <c r="AF8" s="25">
        <v>6937</v>
      </c>
      <c r="AG8" s="26" t="s">
        <v>45</v>
      </c>
      <c r="AH8" s="26" t="s">
        <v>45</v>
      </c>
      <c r="AI8" s="25">
        <v>3328</v>
      </c>
      <c r="AJ8" s="25">
        <v>35621</v>
      </c>
      <c r="AK8" s="27">
        <v>1971</v>
      </c>
      <c r="AL8" s="25">
        <v>2328</v>
      </c>
      <c r="AM8" s="25">
        <v>688</v>
      </c>
      <c r="AN8" s="25">
        <v>2181</v>
      </c>
      <c r="AO8" s="25">
        <v>3534</v>
      </c>
      <c r="AP8" s="26" t="s">
        <v>45</v>
      </c>
      <c r="AQ8" s="26" t="s">
        <v>45</v>
      </c>
      <c r="AR8" s="25">
        <v>9184</v>
      </c>
      <c r="AS8" s="25">
        <v>17915</v>
      </c>
      <c r="AT8" s="27">
        <v>1971</v>
      </c>
      <c r="AU8" s="25">
        <v>24855</v>
      </c>
      <c r="AV8" s="25">
        <v>10134</v>
      </c>
      <c r="AW8" s="25">
        <v>2333</v>
      </c>
      <c r="AX8" s="25">
        <v>1118</v>
      </c>
      <c r="AY8" s="25">
        <v>8882</v>
      </c>
      <c r="AZ8" s="25">
        <v>9431</v>
      </c>
      <c r="BA8" s="25">
        <v>17021</v>
      </c>
      <c r="BB8" s="26" t="s">
        <v>45</v>
      </c>
      <c r="BC8" s="26" t="s">
        <v>45</v>
      </c>
      <c r="BD8" s="25">
        <v>69568</v>
      </c>
      <c r="BE8" s="25">
        <v>143589</v>
      </c>
      <c r="BF8" s="27">
        <v>1971</v>
      </c>
      <c r="BG8" s="28">
        <v>15941.034568497633</v>
      </c>
      <c r="BH8" s="26" t="s">
        <v>45</v>
      </c>
      <c r="BI8" s="28">
        <v>6470.965431502369</v>
      </c>
      <c r="BJ8" s="26" t="s">
        <v>45</v>
      </c>
      <c r="BK8" s="28">
        <f t="shared" si="0"/>
        <v>606128</v>
      </c>
      <c r="BL8" s="24">
        <v>1971</v>
      </c>
      <c r="BM8" s="28">
        <v>606128</v>
      </c>
    </row>
    <row r="9" spans="1:65 16384:16384" ht="12.5">
      <c r="A9" s="24">
        <v>1972</v>
      </c>
      <c r="B9" s="25">
        <v>7675</v>
      </c>
      <c r="C9" s="25">
        <v>7832</v>
      </c>
      <c r="D9" s="25">
        <v>252</v>
      </c>
      <c r="E9" s="25">
        <v>1111</v>
      </c>
      <c r="F9" s="25">
        <v>1154</v>
      </c>
      <c r="G9" s="25">
        <v>8136</v>
      </c>
      <c r="H9" s="25">
        <v>6292</v>
      </c>
      <c r="I9" s="25"/>
      <c r="J9" s="26" t="s">
        <v>45</v>
      </c>
      <c r="K9" s="25">
        <v>28674</v>
      </c>
      <c r="L9" s="25">
        <v>61307</v>
      </c>
      <c r="M9" s="27">
        <v>1972</v>
      </c>
      <c r="N9" s="25">
        <v>53</v>
      </c>
      <c r="O9" s="25">
        <v>5</v>
      </c>
      <c r="P9" s="25">
        <v>229</v>
      </c>
      <c r="Q9" s="25">
        <v>1121</v>
      </c>
      <c r="R9" s="26" t="s">
        <v>45</v>
      </c>
      <c r="S9" s="25">
        <v>23535</v>
      </c>
      <c r="T9" s="26" t="s">
        <v>45</v>
      </c>
      <c r="U9" s="26" t="s">
        <v>45</v>
      </c>
      <c r="V9" s="25">
        <v>23</v>
      </c>
      <c r="W9" s="25">
        <v>962</v>
      </c>
      <c r="X9" s="25">
        <v>4514</v>
      </c>
      <c r="Y9" s="26" t="s">
        <v>45</v>
      </c>
      <c r="Z9" s="25">
        <v>30442</v>
      </c>
      <c r="AA9" s="27">
        <v>1972</v>
      </c>
      <c r="AB9" s="25">
        <v>10602</v>
      </c>
      <c r="AC9" s="25">
        <v>849</v>
      </c>
      <c r="AD9" s="25">
        <v>2144</v>
      </c>
      <c r="AE9" s="25">
        <v>11359</v>
      </c>
      <c r="AF9" s="25">
        <v>7471</v>
      </c>
      <c r="AG9" s="26" t="s">
        <v>45</v>
      </c>
      <c r="AH9" s="26" t="s">
        <v>45</v>
      </c>
      <c r="AI9" s="25">
        <v>3836</v>
      </c>
      <c r="AJ9" s="25">
        <v>36261</v>
      </c>
      <c r="AK9" s="27">
        <v>1972</v>
      </c>
      <c r="AL9" s="25">
        <v>2013</v>
      </c>
      <c r="AM9" s="25">
        <v>537</v>
      </c>
      <c r="AN9" s="25">
        <v>2509</v>
      </c>
      <c r="AO9" s="25">
        <v>3650</v>
      </c>
      <c r="AP9" s="26" t="s">
        <v>45</v>
      </c>
      <c r="AQ9" s="26" t="s">
        <v>45</v>
      </c>
      <c r="AR9" s="25">
        <v>9487</v>
      </c>
      <c r="AS9" s="25">
        <v>18195</v>
      </c>
      <c r="AT9" s="27">
        <v>1972</v>
      </c>
      <c r="AU9" s="25">
        <v>20366</v>
      </c>
      <c r="AV9" s="25">
        <v>9222</v>
      </c>
      <c r="AW9" s="25">
        <v>2396</v>
      </c>
      <c r="AX9" s="25">
        <v>1111</v>
      </c>
      <c r="AY9" s="25">
        <v>8094</v>
      </c>
      <c r="AZ9" s="25">
        <v>15063</v>
      </c>
      <c r="BA9" s="25">
        <v>17643</v>
      </c>
      <c r="BB9" s="26" t="s">
        <v>45</v>
      </c>
      <c r="BC9" s="26" t="s">
        <v>45</v>
      </c>
      <c r="BD9" s="25">
        <v>72129</v>
      </c>
      <c r="BE9" s="25">
        <v>146205</v>
      </c>
      <c r="BF9" s="27">
        <v>1972</v>
      </c>
      <c r="BG9" s="28">
        <v>16919.061215903908</v>
      </c>
      <c r="BH9" s="26" t="s">
        <v>45</v>
      </c>
      <c r="BI9" s="28">
        <v>6615.938784096089</v>
      </c>
      <c r="BJ9" s="26" t="s">
        <v>45</v>
      </c>
      <c r="BK9" s="28">
        <f t="shared" si="0"/>
        <v>617854</v>
      </c>
      <c r="BL9" s="24">
        <v>1972</v>
      </c>
      <c r="BM9" s="28">
        <v>617854</v>
      </c>
    </row>
    <row r="10" spans="1:65 16384:16384" ht="12.5">
      <c r="A10" s="24">
        <v>1973</v>
      </c>
      <c r="B10" s="25">
        <v>7950</v>
      </c>
      <c r="C10" s="25">
        <v>8340</v>
      </c>
      <c r="D10" s="25">
        <v>226</v>
      </c>
      <c r="E10" s="25">
        <v>1290</v>
      </c>
      <c r="F10" s="25">
        <v>788</v>
      </c>
      <c r="G10" s="25">
        <v>10791</v>
      </c>
      <c r="H10" s="25">
        <v>6884</v>
      </c>
      <c r="I10" s="25"/>
      <c r="J10" s="26" t="s">
        <v>45</v>
      </c>
      <c r="K10" s="25">
        <v>28691</v>
      </c>
      <c r="L10" s="25">
        <v>65149</v>
      </c>
      <c r="M10" s="27">
        <v>1973</v>
      </c>
      <c r="N10" s="25">
        <v>58</v>
      </c>
      <c r="O10" s="25">
        <v>0</v>
      </c>
      <c r="P10" s="25">
        <v>224</v>
      </c>
      <c r="Q10" s="25">
        <v>1123</v>
      </c>
      <c r="R10" s="26" t="s">
        <v>45</v>
      </c>
      <c r="S10" s="25">
        <v>25125</v>
      </c>
      <c r="T10" s="26" t="s">
        <v>45</v>
      </c>
      <c r="U10" s="26" t="s">
        <v>45</v>
      </c>
      <c r="V10" s="25">
        <v>10</v>
      </c>
      <c r="W10" s="25">
        <v>1088</v>
      </c>
      <c r="X10" s="25">
        <v>4806</v>
      </c>
      <c r="Y10" s="26" t="s">
        <v>45</v>
      </c>
      <c r="Z10" s="25">
        <v>32435</v>
      </c>
      <c r="AA10" s="27">
        <v>1973</v>
      </c>
      <c r="AB10" s="25">
        <v>10565</v>
      </c>
      <c r="AC10" s="25">
        <v>778</v>
      </c>
      <c r="AD10" s="25">
        <v>2053</v>
      </c>
      <c r="AE10" s="25">
        <v>12129</v>
      </c>
      <c r="AF10" s="25">
        <v>7849</v>
      </c>
      <c r="AG10" s="26" t="s">
        <v>45</v>
      </c>
      <c r="AH10" s="26" t="s">
        <v>45</v>
      </c>
      <c r="AI10" s="25">
        <v>4202</v>
      </c>
      <c r="AJ10" s="25">
        <v>37576</v>
      </c>
      <c r="AK10" s="27">
        <v>1973</v>
      </c>
      <c r="AL10" s="25">
        <v>1731</v>
      </c>
      <c r="AM10" s="25">
        <v>602</v>
      </c>
      <c r="AN10" s="25">
        <v>2728</v>
      </c>
      <c r="AO10" s="25">
        <v>3940</v>
      </c>
      <c r="AP10" s="26" t="s">
        <v>45</v>
      </c>
      <c r="AQ10" s="26" t="s">
        <v>45</v>
      </c>
      <c r="AR10" s="25">
        <v>9585</v>
      </c>
      <c r="AS10" s="25">
        <v>18586</v>
      </c>
      <c r="AT10" s="27">
        <v>1973</v>
      </c>
      <c r="AU10" s="25">
        <v>20313</v>
      </c>
      <c r="AV10" s="25">
        <v>9721</v>
      </c>
      <c r="AW10" s="25">
        <v>2280</v>
      </c>
      <c r="AX10" s="25">
        <v>1290</v>
      </c>
      <c r="AY10" s="25">
        <v>5852</v>
      </c>
      <c r="AZ10" s="25">
        <v>20584</v>
      </c>
      <c r="BA10" s="25">
        <v>18898</v>
      </c>
      <c r="BB10" s="26" t="s">
        <v>45</v>
      </c>
      <c r="BC10" s="26" t="s">
        <v>45</v>
      </c>
      <c r="BD10" s="25">
        <v>74620</v>
      </c>
      <c r="BE10" s="25">
        <v>153744</v>
      </c>
      <c r="BF10" s="27">
        <v>1973</v>
      </c>
      <c r="BG10" s="28">
        <v>18013.371621770315</v>
      </c>
      <c r="BH10" s="26" t="s">
        <v>45</v>
      </c>
      <c r="BI10" s="28">
        <v>7111.6283782296869</v>
      </c>
      <c r="BJ10" s="26" t="s">
        <v>45</v>
      </c>
      <c r="BK10" s="28">
        <f t="shared" si="0"/>
        <v>649594</v>
      </c>
      <c r="BL10" s="24">
        <v>1973</v>
      </c>
      <c r="BM10" s="28">
        <v>649594</v>
      </c>
    </row>
    <row r="11" spans="1:65 16384:16384" ht="12.5">
      <c r="A11" s="24">
        <v>1974</v>
      </c>
      <c r="B11" s="25">
        <v>7290</v>
      </c>
      <c r="C11" s="25">
        <v>7167</v>
      </c>
      <c r="D11" s="25">
        <v>201</v>
      </c>
      <c r="E11" s="25">
        <v>975</v>
      </c>
      <c r="F11" s="25">
        <v>494</v>
      </c>
      <c r="G11" s="25">
        <v>12320</v>
      </c>
      <c r="H11" s="25">
        <v>6517</v>
      </c>
      <c r="I11" s="25"/>
      <c r="J11" s="26" t="s">
        <v>45</v>
      </c>
      <c r="K11" s="25">
        <v>24968</v>
      </c>
      <c r="L11" s="25">
        <v>60058</v>
      </c>
      <c r="M11" s="27">
        <v>1974</v>
      </c>
      <c r="N11" s="25">
        <v>50</v>
      </c>
      <c r="O11" s="25">
        <v>0</v>
      </c>
      <c r="P11" s="25">
        <v>234</v>
      </c>
      <c r="Q11" s="25">
        <v>1048</v>
      </c>
      <c r="R11" s="26" t="s">
        <v>45</v>
      </c>
      <c r="S11" s="25">
        <v>24465</v>
      </c>
      <c r="T11" s="26" t="s">
        <v>45</v>
      </c>
      <c r="U11" s="26" t="s">
        <v>45</v>
      </c>
      <c r="V11" s="25">
        <v>10</v>
      </c>
      <c r="W11" s="25">
        <v>1239</v>
      </c>
      <c r="X11" s="25">
        <v>4219</v>
      </c>
      <c r="Y11" s="26" t="s">
        <v>45</v>
      </c>
      <c r="Z11" s="25">
        <v>31266</v>
      </c>
      <c r="AA11" s="27">
        <v>1974</v>
      </c>
      <c r="AB11" s="25">
        <v>9968</v>
      </c>
      <c r="AC11" s="25">
        <v>821</v>
      </c>
      <c r="AD11" s="25">
        <v>1955</v>
      </c>
      <c r="AE11" s="25">
        <v>13562</v>
      </c>
      <c r="AF11" s="25">
        <v>7963</v>
      </c>
      <c r="AG11" s="26" t="s">
        <v>45</v>
      </c>
      <c r="AH11" s="26" t="s">
        <v>45</v>
      </c>
      <c r="AI11" s="25">
        <v>3733</v>
      </c>
      <c r="AJ11" s="25">
        <v>38002</v>
      </c>
      <c r="AK11" s="27">
        <v>1974</v>
      </c>
      <c r="AL11" s="25">
        <v>1685</v>
      </c>
      <c r="AM11" s="25">
        <v>567</v>
      </c>
      <c r="AN11" s="25">
        <v>3197</v>
      </c>
      <c r="AO11" s="25">
        <v>3642</v>
      </c>
      <c r="AP11" s="26" t="s">
        <v>45</v>
      </c>
      <c r="AQ11" s="26" t="s">
        <v>45</v>
      </c>
      <c r="AR11" s="25">
        <v>8401</v>
      </c>
      <c r="AS11" s="25">
        <v>17492</v>
      </c>
      <c r="AT11" s="27">
        <v>1974</v>
      </c>
      <c r="AU11" s="25">
        <v>19003</v>
      </c>
      <c r="AV11" s="25">
        <v>8555</v>
      </c>
      <c r="AW11" s="25">
        <v>2156</v>
      </c>
      <c r="AX11" s="25">
        <v>975</v>
      </c>
      <c r="AY11" s="25">
        <v>3836</v>
      </c>
      <c r="AZ11" s="25">
        <v>25736</v>
      </c>
      <c r="BA11" s="25">
        <v>18356</v>
      </c>
      <c r="BB11" s="26" t="s">
        <v>45</v>
      </c>
      <c r="BC11" s="26" t="s">
        <v>45</v>
      </c>
      <c r="BD11" s="25">
        <v>68072</v>
      </c>
      <c r="BE11" s="25">
        <v>146818</v>
      </c>
      <c r="BF11" s="27">
        <v>1974</v>
      </c>
      <c r="BG11" s="28">
        <v>17412.210005188092</v>
      </c>
      <c r="BH11" s="26" t="s">
        <v>45</v>
      </c>
      <c r="BI11" s="28">
        <v>7052.7899948119066</v>
      </c>
      <c r="BJ11" s="26" t="s">
        <v>45</v>
      </c>
      <c r="BK11" s="28">
        <f t="shared" si="0"/>
        <v>621351</v>
      </c>
      <c r="BL11" s="24">
        <v>1974</v>
      </c>
      <c r="BM11" s="28">
        <v>621351</v>
      </c>
    </row>
    <row r="12" spans="1:65 16384:16384" ht="12.5">
      <c r="A12" s="24">
        <v>1975</v>
      </c>
      <c r="B12" s="25">
        <v>6373</v>
      </c>
      <c r="C12" s="25">
        <v>6338</v>
      </c>
      <c r="D12" s="25">
        <v>199</v>
      </c>
      <c r="E12" s="25">
        <v>1038</v>
      </c>
      <c r="F12" s="25">
        <v>222</v>
      </c>
      <c r="G12" s="25">
        <v>12555</v>
      </c>
      <c r="H12" s="25">
        <v>6479</v>
      </c>
      <c r="I12" s="25"/>
      <c r="J12" s="26" t="s">
        <v>45</v>
      </c>
      <c r="K12" s="25">
        <v>22145</v>
      </c>
      <c r="L12" s="25">
        <v>55444</v>
      </c>
      <c r="M12" s="27">
        <v>1975</v>
      </c>
      <c r="N12" s="25">
        <v>40</v>
      </c>
      <c r="O12" s="25">
        <v>0</v>
      </c>
      <c r="P12" s="25">
        <v>249</v>
      </c>
      <c r="Q12" s="25">
        <v>1000</v>
      </c>
      <c r="R12" s="26" t="s">
        <v>45</v>
      </c>
      <c r="S12" s="25">
        <v>23948</v>
      </c>
      <c r="T12" s="26" t="s">
        <v>45</v>
      </c>
      <c r="U12" s="26" t="s">
        <v>45</v>
      </c>
      <c r="V12" s="25">
        <v>8</v>
      </c>
      <c r="W12" s="25">
        <v>1300</v>
      </c>
      <c r="X12" s="25">
        <v>4340</v>
      </c>
      <c r="Y12" s="26" t="s">
        <v>45</v>
      </c>
      <c r="Z12" s="25">
        <v>30885</v>
      </c>
      <c r="AA12" s="27">
        <v>1975</v>
      </c>
      <c r="AB12" s="25">
        <v>8517</v>
      </c>
      <c r="AC12" s="25">
        <v>645</v>
      </c>
      <c r="AD12" s="25">
        <v>1778</v>
      </c>
      <c r="AE12" s="25">
        <v>14840</v>
      </c>
      <c r="AF12" s="25">
        <v>7670</v>
      </c>
      <c r="AG12" s="26" t="s">
        <v>45</v>
      </c>
      <c r="AH12" s="26" t="s">
        <v>45</v>
      </c>
      <c r="AI12" s="25">
        <v>3612</v>
      </c>
      <c r="AJ12" s="25">
        <v>37062</v>
      </c>
      <c r="AK12" s="27">
        <v>1975</v>
      </c>
      <c r="AL12" s="25">
        <v>1234</v>
      </c>
      <c r="AM12" s="25">
        <v>408</v>
      </c>
      <c r="AN12" s="25">
        <v>3393</v>
      </c>
      <c r="AO12" s="25">
        <v>3894</v>
      </c>
      <c r="AP12" s="26" t="s">
        <v>45</v>
      </c>
      <c r="AQ12" s="26" t="s">
        <v>45</v>
      </c>
      <c r="AR12" s="25">
        <v>8431</v>
      </c>
      <c r="AS12" s="25">
        <v>17360</v>
      </c>
      <c r="AT12" s="27">
        <v>1975</v>
      </c>
      <c r="AU12" s="25">
        <v>16172</v>
      </c>
      <c r="AV12" s="25">
        <v>7391</v>
      </c>
      <c r="AW12" s="25">
        <v>1977</v>
      </c>
      <c r="AX12" s="25">
        <v>1038</v>
      </c>
      <c r="AY12" s="25">
        <v>1796</v>
      </c>
      <c r="AZ12" s="25">
        <v>29212</v>
      </c>
      <c r="BA12" s="25">
        <v>18293</v>
      </c>
      <c r="BB12" s="26" t="s">
        <v>45</v>
      </c>
      <c r="BC12" s="26" t="s">
        <v>45</v>
      </c>
      <c r="BD12" s="25">
        <v>64776</v>
      </c>
      <c r="BE12" s="25">
        <v>140751</v>
      </c>
      <c r="BF12" s="27">
        <v>1975</v>
      </c>
      <c r="BG12" s="28">
        <v>17062.250193118783</v>
      </c>
      <c r="BH12" s="26" t="s">
        <v>45</v>
      </c>
      <c r="BI12" s="28">
        <v>6885.7498068812183</v>
      </c>
      <c r="BJ12" s="26" t="s">
        <v>45</v>
      </c>
      <c r="BK12" s="28">
        <f t="shared" si="0"/>
        <v>596636</v>
      </c>
      <c r="BL12" s="24">
        <v>1975</v>
      </c>
      <c r="BM12" s="28">
        <v>596636</v>
      </c>
    </row>
    <row r="13" spans="1:65 16384:16384" ht="12.5">
      <c r="A13" s="24">
        <v>1976</v>
      </c>
      <c r="B13" s="25">
        <v>5902</v>
      </c>
      <c r="C13" s="25">
        <v>7129</v>
      </c>
      <c r="D13" s="25">
        <v>131</v>
      </c>
      <c r="E13" s="25">
        <v>1091</v>
      </c>
      <c r="F13" s="25">
        <v>68</v>
      </c>
      <c r="G13" s="25">
        <v>14237</v>
      </c>
      <c r="H13" s="25">
        <v>6950</v>
      </c>
      <c r="I13" s="25"/>
      <c r="J13" s="26" t="s">
        <v>45</v>
      </c>
      <c r="K13" s="25">
        <v>21966</v>
      </c>
      <c r="L13" s="25">
        <v>57584</v>
      </c>
      <c r="M13" s="27">
        <v>1976</v>
      </c>
      <c r="N13" s="25">
        <v>43</v>
      </c>
      <c r="O13" s="25">
        <v>3</v>
      </c>
      <c r="P13" s="25">
        <v>247</v>
      </c>
      <c r="Q13" s="25">
        <v>945</v>
      </c>
      <c r="R13" s="26" t="s">
        <v>45</v>
      </c>
      <c r="S13" s="25">
        <v>24994</v>
      </c>
      <c r="T13" s="26" t="s">
        <v>45</v>
      </c>
      <c r="U13" s="26" t="s">
        <v>45</v>
      </c>
      <c r="V13" s="25">
        <v>8</v>
      </c>
      <c r="W13" s="25">
        <v>1317</v>
      </c>
      <c r="X13" s="25">
        <v>4476</v>
      </c>
      <c r="Y13" s="26" t="s">
        <v>45</v>
      </c>
      <c r="Z13" s="25">
        <v>32032</v>
      </c>
      <c r="AA13" s="27">
        <v>1976</v>
      </c>
      <c r="AB13" s="25">
        <v>7910</v>
      </c>
      <c r="AC13" s="25">
        <v>549</v>
      </c>
      <c r="AD13" s="25">
        <v>1640</v>
      </c>
      <c r="AE13" s="25">
        <v>15602</v>
      </c>
      <c r="AF13" s="25">
        <v>7318</v>
      </c>
      <c r="AG13" s="26" t="s">
        <v>45</v>
      </c>
      <c r="AH13" s="26" t="s">
        <v>45</v>
      </c>
      <c r="AI13" s="25">
        <v>3615</v>
      </c>
      <c r="AJ13" s="25">
        <v>36634</v>
      </c>
      <c r="AK13" s="27">
        <v>1976</v>
      </c>
      <c r="AL13" s="25">
        <v>1300</v>
      </c>
      <c r="AM13" s="25">
        <v>335</v>
      </c>
      <c r="AN13" s="25">
        <v>3831</v>
      </c>
      <c r="AO13" s="25">
        <v>4023</v>
      </c>
      <c r="AP13" s="26" t="s">
        <v>45</v>
      </c>
      <c r="AQ13" s="26" t="s">
        <v>45</v>
      </c>
      <c r="AR13" s="25">
        <v>8668</v>
      </c>
      <c r="AS13" s="25">
        <v>18157</v>
      </c>
      <c r="AT13" s="27">
        <v>1976</v>
      </c>
      <c r="AU13" s="25">
        <v>15162</v>
      </c>
      <c r="AV13" s="25">
        <v>8016</v>
      </c>
      <c r="AW13" s="25">
        <v>1771</v>
      </c>
      <c r="AX13" s="25">
        <v>1091</v>
      </c>
      <c r="AY13" s="25">
        <v>534</v>
      </c>
      <c r="AZ13" s="25">
        <v>33204</v>
      </c>
      <c r="BA13" s="25">
        <v>18537</v>
      </c>
      <c r="BB13" s="26" t="s">
        <v>45</v>
      </c>
      <c r="BC13" s="26" t="s">
        <v>45</v>
      </c>
      <c r="BD13" s="25">
        <v>65981</v>
      </c>
      <c r="BE13" s="25">
        <v>144407</v>
      </c>
      <c r="BF13" s="27">
        <v>1976</v>
      </c>
      <c r="BG13" s="28">
        <v>17880.013280179908</v>
      </c>
      <c r="BH13" s="26" t="s">
        <v>45</v>
      </c>
      <c r="BI13" s="28">
        <v>7113.9867198200918</v>
      </c>
      <c r="BJ13" s="26" t="s">
        <v>45</v>
      </c>
      <c r="BK13" s="28">
        <f t="shared" si="0"/>
        <v>612282</v>
      </c>
      <c r="BL13" s="24">
        <v>1976</v>
      </c>
      <c r="BM13" s="28">
        <v>612282</v>
      </c>
    </row>
    <row r="14" spans="1:65 16384:16384" ht="12.5">
      <c r="A14" s="24">
        <v>1977</v>
      </c>
      <c r="B14" s="25">
        <v>5947</v>
      </c>
      <c r="C14" s="25">
        <v>6368</v>
      </c>
      <c r="D14" s="25">
        <v>158</v>
      </c>
      <c r="E14" s="25">
        <v>1010</v>
      </c>
      <c r="F14" s="25">
        <v>30</v>
      </c>
      <c r="G14" s="25">
        <v>14940</v>
      </c>
      <c r="H14" s="25">
        <v>7053</v>
      </c>
      <c r="I14" s="25"/>
      <c r="J14" s="26" t="s">
        <v>45</v>
      </c>
      <c r="K14" s="25">
        <v>21978</v>
      </c>
      <c r="L14" s="25">
        <v>57574</v>
      </c>
      <c r="M14" s="27">
        <v>1977</v>
      </c>
      <c r="N14" s="25">
        <v>40</v>
      </c>
      <c r="O14" s="25">
        <v>3</v>
      </c>
      <c r="P14" s="25">
        <v>252</v>
      </c>
      <c r="Q14" s="25">
        <v>950</v>
      </c>
      <c r="R14" s="26" t="s">
        <v>45</v>
      </c>
      <c r="S14" s="25">
        <v>25633</v>
      </c>
      <c r="T14" s="26" t="s">
        <v>45</v>
      </c>
      <c r="U14" s="26" t="s">
        <v>45</v>
      </c>
      <c r="V14" s="25">
        <v>8</v>
      </c>
      <c r="W14" s="25">
        <v>1312</v>
      </c>
      <c r="X14" s="25">
        <v>4678</v>
      </c>
      <c r="Y14" s="26" t="s">
        <v>45</v>
      </c>
      <c r="Z14" s="25">
        <v>32875</v>
      </c>
      <c r="AA14" s="27">
        <v>1977</v>
      </c>
      <c r="AB14" s="25">
        <v>8136</v>
      </c>
      <c r="AC14" s="25">
        <v>534</v>
      </c>
      <c r="AD14" s="25">
        <v>1589</v>
      </c>
      <c r="AE14" s="25">
        <v>16600</v>
      </c>
      <c r="AF14" s="25">
        <v>7386</v>
      </c>
      <c r="AG14" s="26" t="s">
        <v>45</v>
      </c>
      <c r="AH14" s="26" t="s">
        <v>45</v>
      </c>
      <c r="AI14" s="25">
        <v>3653</v>
      </c>
      <c r="AJ14" s="25">
        <v>37898</v>
      </c>
      <c r="AK14" s="27">
        <v>1977</v>
      </c>
      <c r="AL14" s="25">
        <v>1370</v>
      </c>
      <c r="AM14" s="25">
        <v>315</v>
      </c>
      <c r="AN14" s="25">
        <v>3998</v>
      </c>
      <c r="AO14" s="25">
        <v>4257</v>
      </c>
      <c r="AP14" s="26" t="s">
        <v>45</v>
      </c>
      <c r="AQ14" s="26" t="s">
        <v>45</v>
      </c>
      <c r="AR14" s="25">
        <v>9157</v>
      </c>
      <c r="AS14" s="25">
        <v>19097</v>
      </c>
      <c r="AT14" s="27">
        <v>1977</v>
      </c>
      <c r="AU14" s="25">
        <v>15502</v>
      </c>
      <c r="AV14" s="25">
        <v>7220</v>
      </c>
      <c r="AW14" s="25">
        <v>1748</v>
      </c>
      <c r="AX14" s="25">
        <v>1010</v>
      </c>
      <c r="AY14" s="25">
        <v>174</v>
      </c>
      <c r="AZ14" s="25">
        <v>35393</v>
      </c>
      <c r="BA14" s="25">
        <v>18948</v>
      </c>
      <c r="BB14" s="26" t="s">
        <v>45</v>
      </c>
      <c r="BC14" s="26" t="s">
        <v>45</v>
      </c>
      <c r="BD14" s="25">
        <v>67361</v>
      </c>
      <c r="BE14" s="25">
        <v>147444</v>
      </c>
      <c r="BF14" s="27">
        <v>1977</v>
      </c>
      <c r="BG14" s="28">
        <v>18372.744960564585</v>
      </c>
      <c r="BH14" s="26" t="s">
        <v>45</v>
      </c>
      <c r="BI14" s="28">
        <v>7260.255039435413</v>
      </c>
      <c r="BJ14" s="26" t="s">
        <v>45</v>
      </c>
      <c r="BK14" s="28">
        <f t="shared" si="0"/>
        <v>625117</v>
      </c>
      <c r="BL14" s="24">
        <v>1977</v>
      </c>
      <c r="BM14" s="28">
        <v>625117</v>
      </c>
    </row>
    <row r="15" spans="1:65 16384:16384" ht="12.5">
      <c r="A15" s="24">
        <v>1978</v>
      </c>
      <c r="B15" s="25">
        <v>5627</v>
      </c>
      <c r="C15" s="25">
        <v>5932</v>
      </c>
      <c r="D15" s="25">
        <v>179</v>
      </c>
      <c r="E15" s="25">
        <v>899</v>
      </c>
      <c r="F15" s="25">
        <v>15</v>
      </c>
      <c r="G15" s="25">
        <v>15149</v>
      </c>
      <c r="H15" s="25">
        <v>7222</v>
      </c>
      <c r="I15" s="25"/>
      <c r="J15" s="26" t="s">
        <v>45</v>
      </c>
      <c r="K15" s="25">
        <v>21570</v>
      </c>
      <c r="L15" s="25">
        <v>56673</v>
      </c>
      <c r="M15" s="27">
        <v>1978</v>
      </c>
      <c r="N15" s="25">
        <v>45</v>
      </c>
      <c r="O15" s="25">
        <v>3</v>
      </c>
      <c r="P15" s="25">
        <v>254</v>
      </c>
      <c r="Q15" s="25">
        <v>967</v>
      </c>
      <c r="R15" s="26" t="s">
        <v>45</v>
      </c>
      <c r="S15" s="25">
        <v>26946</v>
      </c>
      <c r="T15" s="26" t="s">
        <v>45</v>
      </c>
      <c r="U15" s="26" t="s">
        <v>45</v>
      </c>
      <c r="V15" s="25">
        <v>5</v>
      </c>
      <c r="W15" s="25">
        <v>1300</v>
      </c>
      <c r="X15" s="25">
        <v>5051</v>
      </c>
      <c r="Y15" s="26" t="s">
        <v>45</v>
      </c>
      <c r="Z15" s="25">
        <v>34571</v>
      </c>
      <c r="AA15" s="27">
        <v>1978</v>
      </c>
      <c r="AB15" s="25">
        <v>7476</v>
      </c>
      <c r="AC15" s="25">
        <v>471</v>
      </c>
      <c r="AD15" s="25">
        <v>1464</v>
      </c>
      <c r="AE15" s="25">
        <v>18291</v>
      </c>
      <c r="AF15" s="25">
        <v>7378</v>
      </c>
      <c r="AG15" s="26" t="s">
        <v>45</v>
      </c>
      <c r="AH15" s="26" t="s">
        <v>45</v>
      </c>
      <c r="AI15" s="25">
        <v>3610</v>
      </c>
      <c r="AJ15" s="25">
        <v>38689</v>
      </c>
      <c r="AK15" s="27">
        <v>1978</v>
      </c>
      <c r="AL15" s="25">
        <v>1300</v>
      </c>
      <c r="AM15" s="25">
        <v>275</v>
      </c>
      <c r="AN15" s="25">
        <v>4393</v>
      </c>
      <c r="AO15" s="25">
        <v>4481</v>
      </c>
      <c r="AP15" s="26" t="s">
        <v>45</v>
      </c>
      <c r="AQ15" s="26" t="s">
        <v>45</v>
      </c>
      <c r="AR15" s="25">
        <v>8764</v>
      </c>
      <c r="AS15" s="25">
        <v>19213</v>
      </c>
      <c r="AT15" s="27">
        <v>1978</v>
      </c>
      <c r="AU15" s="25">
        <v>14454</v>
      </c>
      <c r="AV15" s="25">
        <v>6681</v>
      </c>
      <c r="AW15" s="25">
        <v>1642</v>
      </c>
      <c r="AX15" s="25">
        <v>899</v>
      </c>
      <c r="AY15" s="25">
        <v>81</v>
      </c>
      <c r="AZ15" s="25">
        <v>37766</v>
      </c>
      <c r="BA15" s="25">
        <v>19336</v>
      </c>
      <c r="BB15" s="26" t="s">
        <v>45</v>
      </c>
      <c r="BC15" s="26" t="s">
        <v>45</v>
      </c>
      <c r="BD15" s="25">
        <v>68208</v>
      </c>
      <c r="BE15" s="25">
        <v>149146</v>
      </c>
      <c r="BF15" s="27">
        <v>1978</v>
      </c>
      <c r="BG15" s="28">
        <v>19446.670337488227</v>
      </c>
      <c r="BH15" s="26" t="s">
        <v>45</v>
      </c>
      <c r="BI15" s="28">
        <v>7499.3296625117746</v>
      </c>
      <c r="BJ15" s="26" t="s">
        <v>45</v>
      </c>
      <c r="BK15" s="28">
        <f t="shared" si="0"/>
        <v>633262</v>
      </c>
      <c r="BL15" s="24">
        <v>1978</v>
      </c>
      <c r="BM15" s="28">
        <v>633262</v>
      </c>
    </row>
    <row r="16" spans="1:65 16384:16384" ht="12.5">
      <c r="A16" s="24">
        <v>1979</v>
      </c>
      <c r="B16" s="25">
        <v>6081</v>
      </c>
      <c r="C16" s="25">
        <v>6512</v>
      </c>
      <c r="D16" s="25">
        <v>148</v>
      </c>
      <c r="E16" s="25">
        <v>977</v>
      </c>
      <c r="F16" s="25">
        <v>18</v>
      </c>
      <c r="G16" s="25">
        <v>15663</v>
      </c>
      <c r="H16" s="25">
        <v>7527</v>
      </c>
      <c r="I16" s="25"/>
      <c r="J16" s="26" t="s">
        <v>45</v>
      </c>
      <c r="K16" s="25">
        <v>21590</v>
      </c>
      <c r="L16" s="25">
        <v>58564</v>
      </c>
      <c r="M16" s="27">
        <v>1979</v>
      </c>
      <c r="N16" s="25">
        <v>43</v>
      </c>
      <c r="O16" s="25">
        <v>3</v>
      </c>
      <c r="P16" s="25">
        <v>254</v>
      </c>
      <c r="Q16" s="25">
        <v>947</v>
      </c>
      <c r="R16" s="26" t="s">
        <v>45</v>
      </c>
      <c r="S16" s="25">
        <v>27520</v>
      </c>
      <c r="T16" s="26" t="s">
        <v>45</v>
      </c>
      <c r="U16" s="26" t="s">
        <v>45</v>
      </c>
      <c r="V16" s="25">
        <v>5</v>
      </c>
      <c r="W16" s="25">
        <v>1363</v>
      </c>
      <c r="X16" s="25">
        <v>5224</v>
      </c>
      <c r="Y16" s="26" t="s">
        <v>45</v>
      </c>
      <c r="Z16" s="25">
        <v>35359</v>
      </c>
      <c r="AA16" s="27">
        <v>1979</v>
      </c>
      <c r="AB16" s="25">
        <v>7688</v>
      </c>
      <c r="AC16" s="25">
        <v>479</v>
      </c>
      <c r="AD16" s="25">
        <v>1431</v>
      </c>
      <c r="AE16" s="25">
        <v>20718</v>
      </c>
      <c r="AF16" s="25">
        <v>7711</v>
      </c>
      <c r="AG16" s="26" t="s">
        <v>45</v>
      </c>
      <c r="AH16" s="26" t="s">
        <v>45</v>
      </c>
      <c r="AI16" s="25">
        <v>3539</v>
      </c>
      <c r="AJ16" s="25">
        <v>41566</v>
      </c>
      <c r="AK16" s="27">
        <v>1979</v>
      </c>
      <c r="AL16" s="25">
        <v>1307</v>
      </c>
      <c r="AM16" s="25">
        <v>285</v>
      </c>
      <c r="AN16" s="25">
        <v>4955</v>
      </c>
      <c r="AO16" s="25">
        <v>4731</v>
      </c>
      <c r="AP16" s="26" t="s">
        <v>45</v>
      </c>
      <c r="AQ16" s="26" t="s">
        <v>45</v>
      </c>
      <c r="AR16" s="25">
        <v>8754</v>
      </c>
      <c r="AS16" s="25">
        <v>20031</v>
      </c>
      <c r="AT16" s="27">
        <v>1979</v>
      </c>
      <c r="AU16" s="25">
        <v>15124</v>
      </c>
      <c r="AV16" s="25">
        <v>7279</v>
      </c>
      <c r="AW16" s="25">
        <v>1579</v>
      </c>
      <c r="AX16" s="25">
        <v>977</v>
      </c>
      <c r="AY16" s="25">
        <v>91</v>
      </c>
      <c r="AZ16" s="25">
        <v>41262</v>
      </c>
      <c r="BA16" s="25">
        <v>20223</v>
      </c>
      <c r="BB16" s="26" t="s">
        <v>45</v>
      </c>
      <c r="BC16" s="26" t="s">
        <v>45</v>
      </c>
      <c r="BD16" s="25">
        <v>68937</v>
      </c>
      <c r="BE16" s="25">
        <v>155521</v>
      </c>
      <c r="BF16" s="27">
        <v>1979</v>
      </c>
      <c r="BG16" s="28">
        <v>19824.872148642156</v>
      </c>
      <c r="BH16" s="26" t="s">
        <v>45</v>
      </c>
      <c r="BI16" s="28">
        <v>7695.1278513578454</v>
      </c>
      <c r="BJ16" s="26" t="s">
        <v>45</v>
      </c>
      <c r="BK16" s="28">
        <f t="shared" si="0"/>
        <v>659401</v>
      </c>
      <c r="BL16" s="24">
        <v>1979</v>
      </c>
      <c r="BM16" s="28">
        <v>659401</v>
      </c>
    </row>
    <row r="17" spans="1:65" ht="26.15" customHeight="1">
      <c r="A17" s="24">
        <v>1980</v>
      </c>
      <c r="B17" s="25">
        <v>5083</v>
      </c>
      <c r="C17" s="25">
        <v>3335</v>
      </c>
      <c r="D17" s="25">
        <v>133</v>
      </c>
      <c r="E17" s="25">
        <v>642</v>
      </c>
      <c r="F17" s="25">
        <v>13</v>
      </c>
      <c r="G17" s="25">
        <v>15258</v>
      </c>
      <c r="H17" s="25">
        <v>6854</v>
      </c>
      <c r="I17" s="25"/>
      <c r="J17" s="26" t="s">
        <v>45</v>
      </c>
      <c r="K17" s="25">
        <v>16938</v>
      </c>
      <c r="L17" s="25">
        <v>48291</v>
      </c>
      <c r="M17" s="27">
        <v>1980</v>
      </c>
      <c r="N17" s="25">
        <v>38</v>
      </c>
      <c r="O17" s="25">
        <v>3</v>
      </c>
      <c r="P17" s="25">
        <v>262</v>
      </c>
      <c r="Q17" s="25">
        <v>919</v>
      </c>
      <c r="R17" s="26" t="s">
        <v>45</v>
      </c>
      <c r="S17" s="25">
        <v>27815</v>
      </c>
      <c r="T17" s="26" t="s">
        <v>45</v>
      </c>
      <c r="U17" s="26" t="s">
        <v>45</v>
      </c>
      <c r="V17" s="25">
        <v>5</v>
      </c>
      <c r="W17" s="25">
        <v>1257</v>
      </c>
      <c r="X17" s="25">
        <v>5242</v>
      </c>
      <c r="Y17" s="26" t="s">
        <v>45</v>
      </c>
      <c r="Z17" s="25">
        <v>35541</v>
      </c>
      <c r="AA17" s="27">
        <v>1980</v>
      </c>
      <c r="AB17" s="25">
        <v>6575</v>
      </c>
      <c r="AC17" s="25">
        <v>401</v>
      </c>
      <c r="AD17" s="25">
        <v>1370</v>
      </c>
      <c r="AE17" s="25">
        <v>21258</v>
      </c>
      <c r="AF17" s="25">
        <v>7403</v>
      </c>
      <c r="AG17" s="26" t="s">
        <v>45</v>
      </c>
      <c r="AH17" s="26" t="s">
        <v>45</v>
      </c>
      <c r="AI17" s="25">
        <v>2834</v>
      </c>
      <c r="AJ17" s="25">
        <v>39841</v>
      </c>
      <c r="AK17" s="27">
        <v>1980</v>
      </c>
      <c r="AL17" s="25">
        <v>1154</v>
      </c>
      <c r="AM17" s="25">
        <v>237</v>
      </c>
      <c r="AN17" s="25">
        <v>5194</v>
      </c>
      <c r="AO17" s="25">
        <v>4733</v>
      </c>
      <c r="AP17" s="26" t="s">
        <v>45</v>
      </c>
      <c r="AQ17" s="26" t="s">
        <v>45</v>
      </c>
      <c r="AR17" s="25">
        <v>7403</v>
      </c>
      <c r="AS17" s="25">
        <v>18721</v>
      </c>
      <c r="AT17" s="27">
        <v>1980</v>
      </c>
      <c r="AU17" s="25">
        <v>12854</v>
      </c>
      <c r="AV17" s="25">
        <v>3975</v>
      </c>
      <c r="AW17" s="25">
        <v>1504</v>
      </c>
      <c r="AX17" s="25">
        <v>642</v>
      </c>
      <c r="AY17" s="25">
        <v>76</v>
      </c>
      <c r="AZ17" s="25">
        <v>41647</v>
      </c>
      <c r="BA17" s="25">
        <v>19252</v>
      </c>
      <c r="BB17" s="26" t="s">
        <v>45</v>
      </c>
      <c r="BC17" s="26" t="s">
        <v>45</v>
      </c>
      <c r="BD17" s="25">
        <v>62408</v>
      </c>
      <c r="BE17" s="25">
        <v>142394</v>
      </c>
      <c r="BF17" s="27">
        <v>1980</v>
      </c>
      <c r="BG17" s="28">
        <v>20395.386712940606</v>
      </c>
      <c r="BH17" s="26" t="s">
        <v>45</v>
      </c>
      <c r="BI17" s="28">
        <v>7419.613287059392</v>
      </c>
      <c r="BJ17" s="26" t="s">
        <v>45</v>
      </c>
      <c r="BK17" s="28">
        <f t="shared" si="0"/>
        <v>607220</v>
      </c>
      <c r="BL17" s="24">
        <v>1980</v>
      </c>
      <c r="BM17" s="28">
        <v>607220</v>
      </c>
    </row>
    <row r="18" spans="1:65" ht="12.5">
      <c r="A18" s="24">
        <v>1981</v>
      </c>
      <c r="B18" s="25">
        <v>4534</v>
      </c>
      <c r="C18" s="25">
        <v>4564</v>
      </c>
      <c r="D18" s="25">
        <v>116</v>
      </c>
      <c r="E18" s="25">
        <v>665</v>
      </c>
      <c r="F18" s="25">
        <v>13</v>
      </c>
      <c r="G18" s="25">
        <v>14489</v>
      </c>
      <c r="H18" s="25">
        <v>6622</v>
      </c>
      <c r="I18" s="25"/>
      <c r="J18" s="26" t="s">
        <v>45</v>
      </c>
      <c r="K18" s="25">
        <v>14761</v>
      </c>
      <c r="L18" s="25">
        <v>45776</v>
      </c>
      <c r="M18" s="27">
        <v>1981</v>
      </c>
      <c r="N18" s="25">
        <v>38</v>
      </c>
      <c r="O18" s="25">
        <v>0</v>
      </c>
      <c r="P18" s="25">
        <v>259</v>
      </c>
      <c r="Q18" s="25">
        <v>877</v>
      </c>
      <c r="R18" s="26" t="s">
        <v>45</v>
      </c>
      <c r="S18" s="25">
        <v>27009</v>
      </c>
      <c r="T18" s="26" t="s">
        <v>45</v>
      </c>
      <c r="U18" s="26" t="s">
        <v>45</v>
      </c>
      <c r="V18" s="25">
        <v>0</v>
      </c>
      <c r="W18" s="25">
        <v>1101</v>
      </c>
      <c r="X18" s="25">
        <v>5020</v>
      </c>
      <c r="Y18" s="26" t="s">
        <v>45</v>
      </c>
      <c r="Z18" s="25">
        <v>34304</v>
      </c>
      <c r="AA18" s="27">
        <v>1981</v>
      </c>
      <c r="AB18" s="25">
        <v>6214</v>
      </c>
      <c r="AC18" s="25">
        <v>368</v>
      </c>
      <c r="AD18" s="25">
        <v>1202</v>
      </c>
      <c r="AE18" s="25">
        <v>22076</v>
      </c>
      <c r="AF18" s="25">
        <v>7260</v>
      </c>
      <c r="AG18" s="26" t="s">
        <v>45</v>
      </c>
      <c r="AH18" s="26" t="s">
        <v>45</v>
      </c>
      <c r="AI18" s="25">
        <v>2554</v>
      </c>
      <c r="AJ18" s="25">
        <v>39674</v>
      </c>
      <c r="AK18" s="27">
        <v>1981</v>
      </c>
      <c r="AL18" s="25">
        <v>1174</v>
      </c>
      <c r="AM18" s="25">
        <v>204</v>
      </c>
      <c r="AN18" s="25">
        <v>5315</v>
      </c>
      <c r="AO18" s="25">
        <v>4804</v>
      </c>
      <c r="AP18" s="26" t="s">
        <v>45</v>
      </c>
      <c r="AQ18" s="26" t="s">
        <v>45</v>
      </c>
      <c r="AR18" s="25">
        <v>7096</v>
      </c>
      <c r="AS18" s="25">
        <v>18592</v>
      </c>
      <c r="AT18" s="27">
        <v>1981</v>
      </c>
      <c r="AU18" s="25">
        <v>11960</v>
      </c>
      <c r="AV18" s="25">
        <v>5136</v>
      </c>
      <c r="AW18" s="25">
        <v>1317</v>
      </c>
      <c r="AX18" s="25">
        <v>665</v>
      </c>
      <c r="AY18" s="25">
        <v>65</v>
      </c>
      <c r="AZ18" s="25">
        <v>41828</v>
      </c>
      <c r="BA18" s="25">
        <v>18945</v>
      </c>
      <c r="BB18" s="26" t="s">
        <v>45</v>
      </c>
      <c r="BC18" s="26" t="s">
        <v>45</v>
      </c>
      <c r="BD18" s="25">
        <v>58420</v>
      </c>
      <c r="BE18" s="25">
        <v>138346</v>
      </c>
      <c r="BF18" s="27">
        <v>1981</v>
      </c>
      <c r="BG18" s="28">
        <v>19983.040873133294</v>
      </c>
      <c r="BH18" s="26" t="s">
        <v>45</v>
      </c>
      <c r="BI18" s="28">
        <v>7025.9591268667054</v>
      </c>
      <c r="BJ18" s="26" t="s">
        <v>45</v>
      </c>
      <c r="BK18" s="28">
        <f t="shared" si="0"/>
        <v>590277</v>
      </c>
      <c r="BL18" s="24">
        <v>1981</v>
      </c>
      <c r="BM18" s="28">
        <v>590277</v>
      </c>
    </row>
    <row r="19" spans="1:65" ht="12.5">
      <c r="A19" s="24">
        <v>1982</v>
      </c>
      <c r="B19" s="25">
        <v>4668</v>
      </c>
      <c r="C19" s="25">
        <v>4083</v>
      </c>
      <c r="D19" s="25">
        <v>144</v>
      </c>
      <c r="E19" s="25">
        <v>605</v>
      </c>
      <c r="F19" s="25">
        <v>8</v>
      </c>
      <c r="G19" s="25">
        <v>14588</v>
      </c>
      <c r="H19" s="25">
        <v>6353</v>
      </c>
      <c r="I19" s="25"/>
      <c r="J19" s="26" t="s">
        <v>45</v>
      </c>
      <c r="K19" s="25">
        <v>13530</v>
      </c>
      <c r="L19" s="25">
        <v>44007</v>
      </c>
      <c r="M19" s="27">
        <v>1982</v>
      </c>
      <c r="N19" s="25">
        <v>35</v>
      </c>
      <c r="O19" s="25">
        <v>0</v>
      </c>
      <c r="P19" s="25">
        <v>229</v>
      </c>
      <c r="Q19" s="25">
        <v>793</v>
      </c>
      <c r="R19" s="26" t="s">
        <v>45</v>
      </c>
      <c r="S19" s="25">
        <v>27797</v>
      </c>
      <c r="T19" s="26" t="s">
        <v>45</v>
      </c>
      <c r="U19" s="26" t="s">
        <v>45</v>
      </c>
      <c r="V19" s="25">
        <v>3</v>
      </c>
      <c r="W19" s="25">
        <v>1186</v>
      </c>
      <c r="X19" s="25">
        <v>4993</v>
      </c>
      <c r="Y19" s="26" t="s">
        <v>45</v>
      </c>
      <c r="Z19" s="25">
        <v>35037</v>
      </c>
      <c r="AA19" s="27">
        <v>1982</v>
      </c>
      <c r="AB19" s="25">
        <v>6242</v>
      </c>
      <c r="AC19" s="25">
        <v>365</v>
      </c>
      <c r="AD19" s="25">
        <v>1146</v>
      </c>
      <c r="AE19" s="25">
        <v>21963</v>
      </c>
      <c r="AF19" s="25">
        <v>7116</v>
      </c>
      <c r="AG19" s="26" t="s">
        <v>45</v>
      </c>
      <c r="AH19" s="26" t="s">
        <v>45</v>
      </c>
      <c r="AI19" s="25">
        <v>2385</v>
      </c>
      <c r="AJ19" s="25">
        <v>39218</v>
      </c>
      <c r="AK19" s="27">
        <v>1982</v>
      </c>
      <c r="AL19" s="25">
        <v>1222</v>
      </c>
      <c r="AM19" s="25">
        <v>212</v>
      </c>
      <c r="AN19" s="25">
        <v>5486</v>
      </c>
      <c r="AO19" s="25">
        <v>4867</v>
      </c>
      <c r="AP19" s="26" t="s">
        <v>45</v>
      </c>
      <c r="AQ19" s="26" t="s">
        <v>45</v>
      </c>
      <c r="AR19" s="25">
        <v>6678</v>
      </c>
      <c r="AS19" s="25">
        <v>18464</v>
      </c>
      <c r="AT19" s="27">
        <v>1982</v>
      </c>
      <c r="AU19" s="25">
        <v>12169</v>
      </c>
      <c r="AV19" s="25">
        <v>4660</v>
      </c>
      <c r="AW19" s="25">
        <v>1290</v>
      </c>
      <c r="AX19" s="25">
        <v>605</v>
      </c>
      <c r="AY19" s="25">
        <v>55</v>
      </c>
      <c r="AZ19" s="25">
        <v>41990</v>
      </c>
      <c r="BA19" s="25">
        <v>18567</v>
      </c>
      <c r="BB19" s="26" t="s">
        <v>45</v>
      </c>
      <c r="BC19" s="26" t="s">
        <v>45</v>
      </c>
      <c r="BD19" s="25">
        <v>57360</v>
      </c>
      <c r="BE19" s="25">
        <v>136726</v>
      </c>
      <c r="BF19" s="27">
        <v>1982</v>
      </c>
      <c r="BG19" s="28">
        <v>20671.010999093487</v>
      </c>
      <c r="BH19" s="26" t="s">
        <v>45</v>
      </c>
      <c r="BI19" s="28">
        <v>7125.9890009065102</v>
      </c>
      <c r="BJ19" s="26" t="s">
        <v>45</v>
      </c>
      <c r="BK19" s="28">
        <f t="shared" si="0"/>
        <v>584552</v>
      </c>
      <c r="BL19" s="24">
        <v>1982</v>
      </c>
      <c r="BM19" s="28">
        <v>584552</v>
      </c>
    </row>
    <row r="20" spans="1:65" ht="12.5">
      <c r="A20" s="24">
        <v>1983</v>
      </c>
      <c r="B20" s="25">
        <v>4708</v>
      </c>
      <c r="C20" s="25">
        <v>4307</v>
      </c>
      <c r="D20" s="25">
        <v>126</v>
      </c>
      <c r="E20" s="25">
        <v>635</v>
      </c>
      <c r="F20" s="25">
        <v>5</v>
      </c>
      <c r="G20" s="25">
        <v>14021</v>
      </c>
      <c r="H20" s="25">
        <v>6376</v>
      </c>
      <c r="I20" s="25"/>
      <c r="J20" s="26" t="s">
        <v>45</v>
      </c>
      <c r="K20" s="25">
        <v>11988</v>
      </c>
      <c r="L20" s="25">
        <v>42191</v>
      </c>
      <c r="M20" s="27">
        <v>1983</v>
      </c>
      <c r="N20" s="25">
        <v>15</v>
      </c>
      <c r="O20" s="25">
        <v>0</v>
      </c>
      <c r="P20" s="25">
        <v>247</v>
      </c>
      <c r="Q20" s="25">
        <v>849</v>
      </c>
      <c r="R20" s="26" t="s">
        <v>45</v>
      </c>
      <c r="S20" s="25">
        <v>28646</v>
      </c>
      <c r="T20" s="26" t="s">
        <v>45</v>
      </c>
      <c r="U20" s="26" t="s">
        <v>45</v>
      </c>
      <c r="V20" s="25">
        <v>3</v>
      </c>
      <c r="W20" s="25">
        <v>1207</v>
      </c>
      <c r="X20" s="25">
        <v>5093</v>
      </c>
      <c r="Y20" s="26" t="s">
        <v>45</v>
      </c>
      <c r="Z20" s="25">
        <v>36059</v>
      </c>
      <c r="AA20" s="27">
        <v>1983</v>
      </c>
      <c r="AB20" s="25">
        <v>5796</v>
      </c>
      <c r="AC20" s="25">
        <v>335</v>
      </c>
      <c r="AD20" s="25">
        <v>1141</v>
      </c>
      <c r="AE20" s="25">
        <v>22346</v>
      </c>
      <c r="AF20" s="25">
        <v>7129</v>
      </c>
      <c r="AG20" s="26" t="s">
        <v>45</v>
      </c>
      <c r="AH20" s="26" t="s">
        <v>45</v>
      </c>
      <c r="AI20" s="25">
        <v>2267</v>
      </c>
      <c r="AJ20" s="25">
        <v>39014</v>
      </c>
      <c r="AK20" s="27">
        <v>1983</v>
      </c>
      <c r="AL20" s="25">
        <v>1166</v>
      </c>
      <c r="AM20" s="25">
        <v>257</v>
      </c>
      <c r="AN20" s="25">
        <v>5915</v>
      </c>
      <c r="AO20" s="25">
        <v>5106</v>
      </c>
      <c r="AP20" s="26" t="s">
        <v>45</v>
      </c>
      <c r="AQ20" s="26" t="s">
        <v>45</v>
      </c>
      <c r="AR20" s="25">
        <v>6403</v>
      </c>
      <c r="AS20" s="25">
        <v>18847</v>
      </c>
      <c r="AT20" s="27">
        <v>1983</v>
      </c>
      <c r="AU20" s="25">
        <v>11688</v>
      </c>
      <c r="AV20" s="25">
        <v>4899</v>
      </c>
      <c r="AW20" s="25">
        <v>1267</v>
      </c>
      <c r="AX20" s="25">
        <v>635</v>
      </c>
      <c r="AY20" s="25">
        <v>45</v>
      </c>
      <c r="AZ20" s="25">
        <v>42242</v>
      </c>
      <c r="BA20" s="25">
        <v>18856</v>
      </c>
      <c r="BB20" s="26" t="s">
        <v>45</v>
      </c>
      <c r="BC20" s="26" t="s">
        <v>45</v>
      </c>
      <c r="BD20" s="25">
        <v>56453</v>
      </c>
      <c r="BE20" s="25">
        <v>136111</v>
      </c>
      <c r="BF20" s="27">
        <v>1983</v>
      </c>
      <c r="BG20" s="28">
        <v>21146.660202807296</v>
      </c>
      <c r="BH20" s="26" t="s">
        <v>45</v>
      </c>
      <c r="BI20" s="28">
        <v>7499.3397971927034</v>
      </c>
      <c r="BJ20" s="26" t="s">
        <v>45</v>
      </c>
      <c r="BK20" s="28">
        <f t="shared" si="0"/>
        <v>582955</v>
      </c>
      <c r="BL20" s="24">
        <v>1983</v>
      </c>
      <c r="BM20" s="28">
        <v>582955</v>
      </c>
    </row>
    <row r="21" spans="1:65" ht="12.5">
      <c r="A21" s="24">
        <v>1984</v>
      </c>
      <c r="B21" s="25">
        <v>3796</v>
      </c>
      <c r="C21" s="25">
        <v>4408</v>
      </c>
      <c r="D21" s="25">
        <v>68</v>
      </c>
      <c r="E21" s="25">
        <v>537</v>
      </c>
      <c r="F21" s="25">
        <v>5</v>
      </c>
      <c r="G21" s="25">
        <v>14686</v>
      </c>
      <c r="H21" s="25">
        <v>6758</v>
      </c>
      <c r="I21" s="25"/>
      <c r="J21" s="26" t="s">
        <v>45</v>
      </c>
      <c r="K21" s="25">
        <v>10859</v>
      </c>
      <c r="L21" s="25">
        <v>41138</v>
      </c>
      <c r="M21" s="27">
        <v>1984</v>
      </c>
      <c r="N21" s="25">
        <v>3</v>
      </c>
      <c r="O21" s="25">
        <v>0</v>
      </c>
      <c r="P21" s="25">
        <v>247</v>
      </c>
      <c r="Q21" s="25">
        <v>816</v>
      </c>
      <c r="R21" s="26" t="s">
        <v>45</v>
      </c>
      <c r="S21" s="25">
        <v>30006</v>
      </c>
      <c r="T21" s="26" t="s">
        <v>45</v>
      </c>
      <c r="U21" s="26" t="s">
        <v>45</v>
      </c>
      <c r="V21" s="25">
        <v>0</v>
      </c>
      <c r="W21" s="25">
        <v>1328</v>
      </c>
      <c r="X21" s="25">
        <v>5383</v>
      </c>
      <c r="Y21" s="26" t="s">
        <v>45</v>
      </c>
      <c r="Z21" s="25">
        <v>37782</v>
      </c>
      <c r="AA21" s="27">
        <v>1984</v>
      </c>
      <c r="AB21" s="25">
        <v>4733</v>
      </c>
      <c r="AC21" s="25">
        <v>335</v>
      </c>
      <c r="AD21" s="25">
        <v>728</v>
      </c>
      <c r="AE21" s="25">
        <v>22502</v>
      </c>
      <c r="AF21" s="25">
        <v>7212</v>
      </c>
      <c r="AG21" s="26" t="s">
        <v>45</v>
      </c>
      <c r="AH21" s="26" t="s">
        <v>45</v>
      </c>
      <c r="AI21" s="25">
        <v>2385</v>
      </c>
      <c r="AJ21" s="25">
        <v>37896</v>
      </c>
      <c r="AK21" s="27">
        <v>1984</v>
      </c>
      <c r="AL21" s="25">
        <v>1141</v>
      </c>
      <c r="AM21" s="25">
        <v>252</v>
      </c>
      <c r="AN21" s="25">
        <v>6101</v>
      </c>
      <c r="AO21" s="25">
        <v>5063</v>
      </c>
      <c r="AP21" s="26" t="s">
        <v>45</v>
      </c>
      <c r="AQ21" s="26" t="s">
        <v>45</v>
      </c>
      <c r="AR21" s="25">
        <v>6381</v>
      </c>
      <c r="AS21" s="25">
        <v>18938</v>
      </c>
      <c r="AT21" s="27">
        <v>1984</v>
      </c>
      <c r="AU21" s="25">
        <v>9673</v>
      </c>
      <c r="AV21" s="25">
        <v>4995</v>
      </c>
      <c r="AW21" s="25">
        <v>796</v>
      </c>
      <c r="AX21" s="25">
        <v>537</v>
      </c>
      <c r="AY21" s="25">
        <v>43</v>
      </c>
      <c r="AZ21" s="25">
        <v>43251</v>
      </c>
      <c r="BA21" s="25">
        <v>19280</v>
      </c>
      <c r="BB21" s="26" t="s">
        <v>45</v>
      </c>
      <c r="BC21" s="26" t="s">
        <v>45</v>
      </c>
      <c r="BD21" s="25">
        <v>57158</v>
      </c>
      <c r="BE21" s="25">
        <v>135753</v>
      </c>
      <c r="BF21" s="27">
        <v>1984</v>
      </c>
      <c r="BG21" s="28">
        <v>21909.196005552505</v>
      </c>
      <c r="BH21" s="26" t="s">
        <v>45</v>
      </c>
      <c r="BI21" s="28">
        <v>8096.8039944474967</v>
      </c>
      <c r="BJ21" s="26" t="s">
        <v>45</v>
      </c>
      <c r="BK21" s="28">
        <f t="shared" si="0"/>
        <v>582899</v>
      </c>
      <c r="BL21" s="24">
        <v>1984</v>
      </c>
      <c r="BM21" s="28">
        <v>582899</v>
      </c>
    </row>
    <row r="22" spans="1:65" ht="12.5">
      <c r="A22" s="24">
        <v>1985</v>
      </c>
      <c r="B22" s="25">
        <v>4708</v>
      </c>
      <c r="C22" s="25">
        <v>4655</v>
      </c>
      <c r="D22" s="25">
        <v>151</v>
      </c>
      <c r="E22" s="25">
        <v>768</v>
      </c>
      <c r="F22" s="25">
        <v>3</v>
      </c>
      <c r="G22" s="25">
        <v>14865</v>
      </c>
      <c r="H22" s="25">
        <v>6837</v>
      </c>
      <c r="I22" s="25"/>
      <c r="J22" s="26" t="s">
        <v>45</v>
      </c>
      <c r="K22" s="25">
        <v>9701</v>
      </c>
      <c r="L22" s="25">
        <v>41702</v>
      </c>
      <c r="M22" s="27">
        <v>1985</v>
      </c>
      <c r="N22" s="25">
        <v>3</v>
      </c>
      <c r="O22" s="25">
        <v>0</v>
      </c>
      <c r="P22" s="25">
        <v>254</v>
      </c>
      <c r="Q22" s="25">
        <v>821</v>
      </c>
      <c r="R22" s="26" t="s">
        <v>45</v>
      </c>
      <c r="S22" s="25">
        <v>30586</v>
      </c>
      <c r="T22" s="26" t="s">
        <v>45</v>
      </c>
      <c r="U22" s="26" t="s">
        <v>45</v>
      </c>
      <c r="V22" s="25">
        <v>0</v>
      </c>
      <c r="W22" s="25">
        <v>1254</v>
      </c>
      <c r="X22" s="25">
        <v>5582</v>
      </c>
      <c r="Y22" s="26" t="s">
        <v>45</v>
      </c>
      <c r="Z22" s="25">
        <v>38500</v>
      </c>
      <c r="AA22" s="27">
        <v>1985</v>
      </c>
      <c r="AB22" s="25">
        <v>6290</v>
      </c>
      <c r="AC22" s="25">
        <v>385</v>
      </c>
      <c r="AD22" s="25">
        <v>957</v>
      </c>
      <c r="AE22" s="25">
        <v>24394</v>
      </c>
      <c r="AF22" s="25">
        <v>7582</v>
      </c>
      <c r="AG22" s="26" t="s">
        <v>45</v>
      </c>
      <c r="AH22" s="26" t="s">
        <v>45</v>
      </c>
      <c r="AI22" s="25">
        <v>2454</v>
      </c>
      <c r="AJ22" s="25">
        <v>42062</v>
      </c>
      <c r="AK22" s="27">
        <v>1985</v>
      </c>
      <c r="AL22" s="25">
        <v>1123</v>
      </c>
      <c r="AM22" s="25">
        <v>297</v>
      </c>
      <c r="AN22" s="25">
        <v>6718</v>
      </c>
      <c r="AO22" s="25">
        <v>5446</v>
      </c>
      <c r="AP22" s="26" t="s">
        <v>45</v>
      </c>
      <c r="AQ22" s="26" t="s">
        <v>45</v>
      </c>
      <c r="AR22" s="25">
        <v>6018</v>
      </c>
      <c r="AS22" s="25">
        <v>19603</v>
      </c>
      <c r="AT22" s="27">
        <v>1985</v>
      </c>
      <c r="AU22" s="25">
        <v>12124</v>
      </c>
      <c r="AV22" s="25">
        <v>5338</v>
      </c>
      <c r="AW22" s="25">
        <v>1108</v>
      </c>
      <c r="AX22" s="25">
        <v>768</v>
      </c>
      <c r="AY22" s="25">
        <v>40</v>
      </c>
      <c r="AZ22" s="25">
        <v>45940</v>
      </c>
      <c r="BA22" s="25">
        <v>20118</v>
      </c>
      <c r="BB22" s="26" t="s">
        <v>45</v>
      </c>
      <c r="BC22" s="26" t="s">
        <v>45</v>
      </c>
      <c r="BD22" s="25">
        <v>56416</v>
      </c>
      <c r="BE22" s="25">
        <v>141867</v>
      </c>
      <c r="BF22" s="27">
        <v>1985</v>
      </c>
      <c r="BG22" s="28">
        <v>22080.973476509847</v>
      </c>
      <c r="BH22" s="26" t="s">
        <v>45</v>
      </c>
      <c r="BI22" s="28">
        <v>8505.0265234901526</v>
      </c>
      <c r="BJ22" s="26" t="s">
        <v>45</v>
      </c>
      <c r="BK22" s="28">
        <f t="shared" si="0"/>
        <v>607949</v>
      </c>
      <c r="BL22" s="24">
        <v>1985</v>
      </c>
      <c r="BM22" s="28">
        <v>607949</v>
      </c>
    </row>
    <row r="23" spans="1:65" ht="12.5">
      <c r="A23" s="24">
        <v>1986</v>
      </c>
      <c r="B23" s="25">
        <v>5242</v>
      </c>
      <c r="C23" s="25">
        <v>4144</v>
      </c>
      <c r="D23" s="25">
        <v>98</v>
      </c>
      <c r="E23" s="25">
        <v>778</v>
      </c>
      <c r="F23" s="25">
        <v>3</v>
      </c>
      <c r="G23" s="25">
        <v>13542</v>
      </c>
      <c r="H23" s="25">
        <v>6884</v>
      </c>
      <c r="I23" s="25"/>
      <c r="J23" s="26" t="s">
        <v>45</v>
      </c>
      <c r="K23" s="25">
        <v>10240</v>
      </c>
      <c r="L23" s="25">
        <v>40931</v>
      </c>
      <c r="M23" s="27">
        <v>1986</v>
      </c>
      <c r="N23" s="25">
        <v>3</v>
      </c>
      <c r="O23" s="25">
        <v>0</v>
      </c>
      <c r="P23" s="25">
        <v>259</v>
      </c>
      <c r="Q23" s="25">
        <v>809</v>
      </c>
      <c r="R23" s="26" t="s">
        <v>45</v>
      </c>
      <c r="S23" s="25">
        <v>32606</v>
      </c>
      <c r="T23" s="26" t="s">
        <v>45</v>
      </c>
      <c r="U23" s="26" t="s">
        <v>45</v>
      </c>
      <c r="V23" s="25">
        <v>0</v>
      </c>
      <c r="W23" s="25">
        <v>1151</v>
      </c>
      <c r="X23" s="25">
        <v>6126</v>
      </c>
      <c r="Y23" s="26" t="s">
        <v>45</v>
      </c>
      <c r="Z23" s="25">
        <v>40954</v>
      </c>
      <c r="AA23" s="27">
        <v>1986</v>
      </c>
      <c r="AB23" s="25">
        <v>6121</v>
      </c>
      <c r="AC23" s="25">
        <v>335</v>
      </c>
      <c r="AD23" s="25">
        <v>965</v>
      </c>
      <c r="AE23" s="25">
        <v>25797</v>
      </c>
      <c r="AF23" s="25">
        <v>7892</v>
      </c>
      <c r="AG23" s="26" t="s">
        <v>45</v>
      </c>
      <c r="AH23" s="26" t="s">
        <v>45</v>
      </c>
      <c r="AI23" s="25">
        <v>2590</v>
      </c>
      <c r="AJ23" s="25">
        <v>43700</v>
      </c>
      <c r="AK23" s="27">
        <v>1986</v>
      </c>
      <c r="AL23" s="25">
        <v>982</v>
      </c>
      <c r="AM23" s="25">
        <v>390</v>
      </c>
      <c r="AN23" s="25">
        <v>7308</v>
      </c>
      <c r="AO23" s="25">
        <v>5731</v>
      </c>
      <c r="AP23" s="26" t="s">
        <v>45</v>
      </c>
      <c r="AQ23" s="26" t="s">
        <v>45</v>
      </c>
      <c r="AR23" s="25">
        <v>5723</v>
      </c>
      <c r="AS23" s="25">
        <v>20135</v>
      </c>
      <c r="AT23" s="27">
        <v>1986</v>
      </c>
      <c r="AU23" s="25">
        <v>12348</v>
      </c>
      <c r="AV23" s="25">
        <v>4869</v>
      </c>
      <c r="AW23" s="25">
        <v>1063</v>
      </c>
      <c r="AX23" s="25">
        <v>778</v>
      </c>
      <c r="AY23" s="25">
        <v>28</v>
      </c>
      <c r="AZ23" s="25">
        <v>46622</v>
      </c>
      <c r="BA23" s="25">
        <v>20763</v>
      </c>
      <c r="BB23" s="26" t="s">
        <v>45</v>
      </c>
      <c r="BC23" s="26" t="s">
        <v>45</v>
      </c>
      <c r="BD23" s="25">
        <v>59245</v>
      </c>
      <c r="BE23" s="25">
        <v>145719</v>
      </c>
      <c r="BF23" s="27">
        <v>1986</v>
      </c>
      <c r="BG23" s="28">
        <v>23279.684720901831</v>
      </c>
      <c r="BH23" s="26" t="s">
        <v>45</v>
      </c>
      <c r="BI23" s="28">
        <v>9326.3152790981676</v>
      </c>
      <c r="BJ23" s="26" t="s">
        <v>45</v>
      </c>
      <c r="BK23" s="28">
        <f t="shared" si="0"/>
        <v>625409.99999999988</v>
      </c>
      <c r="BL23" s="24">
        <v>1986</v>
      </c>
      <c r="BM23" s="28">
        <v>625409.99999999988</v>
      </c>
    </row>
    <row r="24" spans="1:65" ht="12.5">
      <c r="A24" s="24">
        <v>1987</v>
      </c>
      <c r="B24" s="25">
        <v>4048</v>
      </c>
      <c r="C24" s="25">
        <v>4660</v>
      </c>
      <c r="D24" s="25">
        <v>80</v>
      </c>
      <c r="E24" s="25">
        <v>821</v>
      </c>
      <c r="F24" s="25">
        <v>3</v>
      </c>
      <c r="G24" s="25">
        <v>14137</v>
      </c>
      <c r="H24" s="25">
        <v>8005</v>
      </c>
      <c r="I24" s="25"/>
      <c r="J24" s="26" t="s">
        <v>45</v>
      </c>
      <c r="K24" s="25">
        <v>8456</v>
      </c>
      <c r="L24" s="25">
        <v>40211</v>
      </c>
      <c r="M24" s="27">
        <v>1987</v>
      </c>
      <c r="N24" s="25">
        <v>3</v>
      </c>
      <c r="O24" s="25">
        <v>0</v>
      </c>
      <c r="P24" s="25">
        <v>264</v>
      </c>
      <c r="Q24" s="25">
        <v>761</v>
      </c>
      <c r="R24" s="26" t="s">
        <v>45</v>
      </c>
      <c r="S24" s="25">
        <v>34062</v>
      </c>
      <c r="T24" s="26" t="s">
        <v>45</v>
      </c>
      <c r="U24" s="26" t="s">
        <v>45</v>
      </c>
      <c r="V24" s="25">
        <v>0</v>
      </c>
      <c r="W24" s="25">
        <v>1103</v>
      </c>
      <c r="X24" s="25">
        <v>6479</v>
      </c>
      <c r="Y24" s="26" t="s">
        <v>45</v>
      </c>
      <c r="Z24" s="25">
        <v>42672</v>
      </c>
      <c r="AA24" s="27">
        <v>1987</v>
      </c>
      <c r="AB24" s="25">
        <v>5189</v>
      </c>
      <c r="AC24" s="25">
        <v>315</v>
      </c>
      <c r="AD24" s="25">
        <v>1018</v>
      </c>
      <c r="AE24" s="25">
        <v>26450</v>
      </c>
      <c r="AF24" s="25">
        <v>8015</v>
      </c>
      <c r="AG24" s="26" t="s">
        <v>45</v>
      </c>
      <c r="AH24" s="26" t="s">
        <v>45</v>
      </c>
      <c r="AI24" s="25">
        <v>2474</v>
      </c>
      <c r="AJ24" s="25">
        <v>43460</v>
      </c>
      <c r="AK24" s="27">
        <v>1987</v>
      </c>
      <c r="AL24" s="25">
        <v>935</v>
      </c>
      <c r="AM24" s="25">
        <v>368</v>
      </c>
      <c r="AN24" s="25">
        <v>7534</v>
      </c>
      <c r="AO24" s="25">
        <v>5965</v>
      </c>
      <c r="AP24" s="26" t="s">
        <v>45</v>
      </c>
      <c r="AQ24" s="26" t="s">
        <v>45</v>
      </c>
      <c r="AR24" s="25">
        <v>4988</v>
      </c>
      <c r="AS24" s="25">
        <v>19790</v>
      </c>
      <c r="AT24" s="27">
        <v>1987</v>
      </c>
      <c r="AU24" s="25">
        <v>10174</v>
      </c>
      <c r="AV24" s="25">
        <v>5343</v>
      </c>
      <c r="AW24" s="25">
        <v>1098</v>
      </c>
      <c r="AX24" s="25">
        <v>821</v>
      </c>
      <c r="AY24" s="25">
        <v>28</v>
      </c>
      <c r="AZ24" s="25">
        <v>48096</v>
      </c>
      <c r="BA24" s="25">
        <v>22252</v>
      </c>
      <c r="BB24" s="26" t="s">
        <v>45</v>
      </c>
      <c r="BC24" s="26" t="s">
        <v>45</v>
      </c>
      <c r="BD24" s="25">
        <v>58325</v>
      </c>
      <c r="BE24" s="25">
        <v>146132</v>
      </c>
      <c r="BF24" s="27">
        <v>1987</v>
      </c>
      <c r="BG24" s="28">
        <v>24165.572280578734</v>
      </c>
      <c r="BH24" s="26" t="s">
        <v>45</v>
      </c>
      <c r="BI24" s="28">
        <v>9896.4277194212664</v>
      </c>
      <c r="BJ24" s="26" t="s">
        <v>45</v>
      </c>
      <c r="BK24" s="28">
        <f t="shared" si="0"/>
        <v>628532</v>
      </c>
      <c r="BL24" s="24">
        <v>1987</v>
      </c>
      <c r="BM24" s="28">
        <v>628532</v>
      </c>
    </row>
    <row r="25" spans="1:65" ht="12.5">
      <c r="A25" s="24">
        <v>1988</v>
      </c>
      <c r="B25" s="25">
        <v>4166</v>
      </c>
      <c r="C25" s="25">
        <v>5041</v>
      </c>
      <c r="D25" s="25">
        <v>55</v>
      </c>
      <c r="E25" s="25">
        <v>771</v>
      </c>
      <c r="F25" s="25">
        <v>0</v>
      </c>
      <c r="G25" s="25">
        <v>12883</v>
      </c>
      <c r="H25" s="25">
        <v>8350</v>
      </c>
      <c r="I25" s="25"/>
      <c r="J25" s="25">
        <v>100</v>
      </c>
      <c r="K25" s="25">
        <v>9441</v>
      </c>
      <c r="L25" s="25">
        <v>40807</v>
      </c>
      <c r="M25" s="27">
        <v>1988</v>
      </c>
      <c r="N25" s="26" t="s">
        <v>45</v>
      </c>
      <c r="O25" s="25">
        <v>0</v>
      </c>
      <c r="P25" s="25">
        <v>282</v>
      </c>
      <c r="Q25" s="25">
        <v>766</v>
      </c>
      <c r="R25" s="26" t="s">
        <v>45</v>
      </c>
      <c r="S25" s="25">
        <v>36233</v>
      </c>
      <c r="T25" s="26" t="s">
        <v>45</v>
      </c>
      <c r="U25" s="26" t="s">
        <v>45</v>
      </c>
      <c r="V25" s="25">
        <v>0</v>
      </c>
      <c r="W25" s="25">
        <v>1159</v>
      </c>
      <c r="X25" s="25">
        <v>6905</v>
      </c>
      <c r="Y25" s="26" t="s">
        <v>45</v>
      </c>
      <c r="Z25" s="25">
        <v>45345</v>
      </c>
      <c r="AA25" s="27">
        <v>1988</v>
      </c>
      <c r="AB25" s="25">
        <v>4741</v>
      </c>
      <c r="AC25" s="25">
        <v>300</v>
      </c>
      <c r="AD25" s="25">
        <v>907</v>
      </c>
      <c r="AE25" s="25">
        <v>25833</v>
      </c>
      <c r="AF25" s="25">
        <v>7940</v>
      </c>
      <c r="AG25" s="26" t="s">
        <v>45</v>
      </c>
      <c r="AH25" s="25">
        <v>205</v>
      </c>
      <c r="AI25" s="25">
        <v>2441</v>
      </c>
      <c r="AJ25" s="25">
        <v>42367</v>
      </c>
      <c r="AK25" s="27">
        <v>1988</v>
      </c>
      <c r="AL25" s="25">
        <v>831</v>
      </c>
      <c r="AM25" s="25">
        <v>264</v>
      </c>
      <c r="AN25" s="25">
        <v>7569</v>
      </c>
      <c r="AO25" s="25">
        <v>6240</v>
      </c>
      <c r="AP25" s="26" t="s">
        <v>45</v>
      </c>
      <c r="AQ25" s="25">
        <v>138</v>
      </c>
      <c r="AR25" s="25">
        <v>5008</v>
      </c>
      <c r="AS25" s="25">
        <v>20050</v>
      </c>
      <c r="AT25" s="27">
        <v>1988</v>
      </c>
      <c r="AU25" s="25">
        <v>9738</v>
      </c>
      <c r="AV25" s="25">
        <v>5605</v>
      </c>
      <c r="AW25" s="25">
        <v>962</v>
      </c>
      <c r="AX25" s="25">
        <v>771</v>
      </c>
      <c r="AY25" s="25">
        <v>8</v>
      </c>
      <c r="AZ25" s="25">
        <v>46277</v>
      </c>
      <c r="BA25" s="25">
        <v>22811</v>
      </c>
      <c r="BB25" s="26" t="s">
        <v>45</v>
      </c>
      <c r="BC25" s="25">
        <v>443</v>
      </c>
      <c r="BD25" s="25">
        <v>61952</v>
      </c>
      <c r="BE25" s="25">
        <v>148569</v>
      </c>
      <c r="BF25" s="27">
        <v>1988</v>
      </c>
      <c r="BG25" s="28">
        <v>25433.783619973514</v>
      </c>
      <c r="BH25" s="26" t="s">
        <v>45</v>
      </c>
      <c r="BI25" s="28">
        <v>10799.216380026483</v>
      </c>
      <c r="BJ25" s="26" t="s">
        <v>45</v>
      </c>
      <c r="BK25" s="28">
        <f t="shared" si="0"/>
        <v>640447</v>
      </c>
      <c r="BL25" s="24">
        <v>1988</v>
      </c>
      <c r="BM25" s="28">
        <v>640447</v>
      </c>
    </row>
    <row r="26" spans="1:65" ht="12.5">
      <c r="A26" s="24">
        <v>1989</v>
      </c>
      <c r="B26" s="25">
        <v>4489</v>
      </c>
      <c r="C26" s="25">
        <v>4286</v>
      </c>
      <c r="D26" s="25">
        <v>30</v>
      </c>
      <c r="E26" s="25">
        <v>613</v>
      </c>
      <c r="F26" s="25">
        <v>0</v>
      </c>
      <c r="G26" s="25">
        <v>12515</v>
      </c>
      <c r="H26" s="25">
        <v>8550</v>
      </c>
      <c r="I26" s="25"/>
      <c r="J26" s="25">
        <v>101.8</v>
      </c>
      <c r="K26" s="25">
        <v>8820</v>
      </c>
      <c r="L26" s="25">
        <v>39404.800000000003</v>
      </c>
      <c r="M26" s="27">
        <v>1989</v>
      </c>
      <c r="N26" s="25">
        <v>3</v>
      </c>
      <c r="O26" s="25">
        <v>0</v>
      </c>
      <c r="P26" s="25">
        <v>272</v>
      </c>
      <c r="Q26" s="25">
        <v>702</v>
      </c>
      <c r="R26" s="26" t="s">
        <v>45</v>
      </c>
      <c r="S26" s="25">
        <v>37801</v>
      </c>
      <c r="T26" s="26" t="s">
        <v>45</v>
      </c>
      <c r="U26" s="26" t="s">
        <v>45</v>
      </c>
      <c r="V26" s="25">
        <v>0</v>
      </c>
      <c r="W26" s="25">
        <v>1355</v>
      </c>
      <c r="X26" s="25">
        <v>7308</v>
      </c>
      <c r="Y26" s="26" t="s">
        <v>45</v>
      </c>
      <c r="Z26" s="25">
        <v>47442</v>
      </c>
      <c r="AA26" s="27">
        <v>1989</v>
      </c>
      <c r="AB26" s="25">
        <v>3719</v>
      </c>
      <c r="AC26" s="25">
        <v>239</v>
      </c>
      <c r="AD26" s="25">
        <v>815</v>
      </c>
      <c r="AE26" s="25">
        <v>24988</v>
      </c>
      <c r="AF26" s="25">
        <v>7935</v>
      </c>
      <c r="AG26" s="26" t="s">
        <v>45</v>
      </c>
      <c r="AH26" s="25">
        <v>207.1</v>
      </c>
      <c r="AI26" s="25">
        <v>2355</v>
      </c>
      <c r="AJ26" s="25">
        <v>40258.1</v>
      </c>
      <c r="AK26" s="27">
        <v>1989</v>
      </c>
      <c r="AL26" s="25">
        <v>698</v>
      </c>
      <c r="AM26" s="25">
        <v>119</v>
      </c>
      <c r="AN26" s="25">
        <v>7278</v>
      </c>
      <c r="AO26" s="25">
        <v>6497</v>
      </c>
      <c r="AP26" s="26" t="s">
        <v>45</v>
      </c>
      <c r="AQ26" s="25">
        <v>138.30000000000001</v>
      </c>
      <c r="AR26" s="25">
        <v>4345</v>
      </c>
      <c r="AS26" s="25">
        <v>19075.3</v>
      </c>
      <c r="AT26" s="27">
        <v>1989</v>
      </c>
      <c r="AU26" s="25">
        <v>8909</v>
      </c>
      <c r="AV26" s="25">
        <v>4645</v>
      </c>
      <c r="AW26" s="25">
        <v>845</v>
      </c>
      <c r="AX26" s="25">
        <v>613</v>
      </c>
      <c r="AY26" s="25">
        <v>0</v>
      </c>
      <c r="AZ26" s="25">
        <v>44780</v>
      </c>
      <c r="BA26" s="25">
        <v>23254</v>
      </c>
      <c r="BB26" s="26" t="s">
        <v>45</v>
      </c>
      <c r="BC26" s="25">
        <v>447.2</v>
      </c>
      <c r="BD26" s="25">
        <v>62685</v>
      </c>
      <c r="BE26" s="25">
        <v>146180.19999999998</v>
      </c>
      <c r="BF26" s="27">
        <v>1989</v>
      </c>
      <c r="BG26" s="28">
        <v>26262.913677330223</v>
      </c>
      <c r="BH26" s="26" t="s">
        <v>45</v>
      </c>
      <c r="BI26" s="28">
        <v>11538.086322669777</v>
      </c>
      <c r="BJ26" s="26" t="s">
        <v>45</v>
      </c>
      <c r="BK26" s="28">
        <f t="shared" si="0"/>
        <v>632463.80000000005</v>
      </c>
      <c r="BL26" s="24">
        <v>1989</v>
      </c>
      <c r="BM26" s="28">
        <v>632463.80000000005</v>
      </c>
    </row>
    <row r="27" spans="1:65" ht="26.15" customHeight="1">
      <c r="A27" s="24">
        <v>1990</v>
      </c>
      <c r="B27" s="25">
        <v>4172</v>
      </c>
      <c r="C27" s="25">
        <v>3951</v>
      </c>
      <c r="D27" s="25">
        <v>42</v>
      </c>
      <c r="E27" s="25">
        <v>602</v>
      </c>
      <c r="F27" s="25">
        <v>0</v>
      </c>
      <c r="G27" s="25">
        <v>12889</v>
      </c>
      <c r="H27" s="25">
        <v>8655</v>
      </c>
      <c r="I27" s="25"/>
      <c r="J27" s="25">
        <v>106.6</v>
      </c>
      <c r="K27" s="25">
        <v>8242</v>
      </c>
      <c r="L27" s="25">
        <v>38659.599999999999</v>
      </c>
      <c r="M27" s="27">
        <v>1990</v>
      </c>
      <c r="N27" s="25">
        <v>2</v>
      </c>
      <c r="O27" s="25">
        <v>0</v>
      </c>
      <c r="P27" s="25">
        <v>455</v>
      </c>
      <c r="Q27" s="25">
        <v>668</v>
      </c>
      <c r="R27" s="26" t="s">
        <v>45</v>
      </c>
      <c r="S27" s="25">
        <v>38816</v>
      </c>
      <c r="T27" s="26" t="s">
        <v>45</v>
      </c>
      <c r="U27" s="26" t="s">
        <v>45</v>
      </c>
      <c r="V27" s="25">
        <v>0</v>
      </c>
      <c r="W27" s="25">
        <v>1363</v>
      </c>
      <c r="X27" s="25">
        <v>7332</v>
      </c>
      <c r="Y27" s="26" t="s">
        <v>45</v>
      </c>
      <c r="Z27" s="25">
        <v>48635</v>
      </c>
      <c r="AA27" s="27">
        <v>1990</v>
      </c>
      <c r="AB27" s="25">
        <v>3153</v>
      </c>
      <c r="AC27" s="25">
        <v>254</v>
      </c>
      <c r="AD27" s="25">
        <v>762</v>
      </c>
      <c r="AE27" s="25">
        <v>25835</v>
      </c>
      <c r="AF27" s="25">
        <v>8066</v>
      </c>
      <c r="AG27" s="26" t="s">
        <v>45</v>
      </c>
      <c r="AH27" s="25">
        <v>205.5</v>
      </c>
      <c r="AI27" s="25">
        <v>2480</v>
      </c>
      <c r="AJ27" s="25">
        <v>40755.5</v>
      </c>
      <c r="AK27" s="27">
        <v>1990</v>
      </c>
      <c r="AL27" s="25">
        <v>795</v>
      </c>
      <c r="AM27" s="25">
        <v>127</v>
      </c>
      <c r="AN27" s="25">
        <v>7329</v>
      </c>
      <c r="AO27" s="25">
        <v>6426</v>
      </c>
      <c r="AP27" s="26" t="s">
        <v>45</v>
      </c>
      <c r="AQ27" s="25">
        <v>138.6</v>
      </c>
      <c r="AR27" s="25">
        <v>4402</v>
      </c>
      <c r="AS27" s="25">
        <v>19217.599999999999</v>
      </c>
      <c r="AT27" s="27">
        <v>1990</v>
      </c>
      <c r="AU27" s="25">
        <v>8122</v>
      </c>
      <c r="AV27" s="25">
        <v>4333</v>
      </c>
      <c r="AW27" s="25">
        <v>804</v>
      </c>
      <c r="AX27" s="25">
        <v>602</v>
      </c>
      <c r="AY27" s="25">
        <v>0</v>
      </c>
      <c r="AZ27" s="25">
        <v>46052</v>
      </c>
      <c r="BA27" s="25">
        <v>23601</v>
      </c>
      <c r="BB27" s="26" t="s">
        <v>45</v>
      </c>
      <c r="BC27" s="25">
        <v>450.70000000000005</v>
      </c>
      <c r="BD27" s="25">
        <v>63302</v>
      </c>
      <c r="BE27" s="25">
        <v>147267.70000000001</v>
      </c>
      <c r="BF27" s="27">
        <v>1990</v>
      </c>
      <c r="BG27" s="28">
        <v>27330.915380230126</v>
      </c>
      <c r="BH27" s="26" t="s">
        <v>45</v>
      </c>
      <c r="BI27" s="28">
        <v>11485.084619769874</v>
      </c>
      <c r="BJ27" s="26" t="s">
        <v>45</v>
      </c>
      <c r="BK27" s="28">
        <f t="shared" si="0"/>
        <v>637836.80000000005</v>
      </c>
      <c r="BL27" s="24">
        <v>1990</v>
      </c>
      <c r="BM27" s="28">
        <v>637836.80000000005</v>
      </c>
    </row>
    <row r="28" spans="1:65" ht="12.5">
      <c r="A28" s="24">
        <v>1991</v>
      </c>
      <c r="B28" s="25">
        <v>4270</v>
      </c>
      <c r="C28" s="25">
        <v>3691</v>
      </c>
      <c r="D28" s="25">
        <v>14</v>
      </c>
      <c r="E28" s="25">
        <v>570</v>
      </c>
      <c r="F28" s="25">
        <v>0</v>
      </c>
      <c r="G28" s="25">
        <v>12311</v>
      </c>
      <c r="H28" s="25">
        <v>8563</v>
      </c>
      <c r="I28" s="25"/>
      <c r="J28" s="25">
        <v>108.7</v>
      </c>
      <c r="K28" s="25">
        <v>8729</v>
      </c>
      <c r="L28" s="25">
        <v>38256.699999999997</v>
      </c>
      <c r="M28" s="27">
        <v>1991</v>
      </c>
      <c r="N28" s="26" t="s">
        <v>45</v>
      </c>
      <c r="O28" s="25">
        <v>0</v>
      </c>
      <c r="P28" s="25">
        <v>454</v>
      </c>
      <c r="Q28" s="25">
        <v>685</v>
      </c>
      <c r="R28" s="26" t="s">
        <v>45</v>
      </c>
      <c r="S28" s="25">
        <v>38535</v>
      </c>
      <c r="T28" s="26" t="s">
        <v>45</v>
      </c>
      <c r="U28" s="26" t="s">
        <v>45</v>
      </c>
      <c r="V28" s="25">
        <v>0</v>
      </c>
      <c r="W28" s="25">
        <v>1424</v>
      </c>
      <c r="X28" s="25">
        <v>6872</v>
      </c>
      <c r="Y28" s="26" t="s">
        <v>45</v>
      </c>
      <c r="Z28" s="25">
        <v>47973</v>
      </c>
      <c r="AA28" s="27">
        <v>1991</v>
      </c>
      <c r="AB28" s="25">
        <v>3582</v>
      </c>
      <c r="AC28" s="25">
        <v>210</v>
      </c>
      <c r="AD28" s="25">
        <v>785</v>
      </c>
      <c r="AE28" s="25">
        <v>28721</v>
      </c>
      <c r="AF28" s="25">
        <v>8436</v>
      </c>
      <c r="AG28" s="26" t="s">
        <v>45</v>
      </c>
      <c r="AH28" s="25">
        <v>208.7</v>
      </c>
      <c r="AI28" s="25">
        <v>2825</v>
      </c>
      <c r="AJ28" s="25">
        <v>44767.7</v>
      </c>
      <c r="AK28" s="27">
        <v>1991</v>
      </c>
      <c r="AL28" s="25">
        <v>753</v>
      </c>
      <c r="AM28" s="25">
        <v>105</v>
      </c>
      <c r="AN28" s="25">
        <v>8640</v>
      </c>
      <c r="AO28" s="25">
        <v>6717</v>
      </c>
      <c r="AP28" s="26" t="s">
        <v>45</v>
      </c>
      <c r="AQ28" s="25">
        <v>149.1</v>
      </c>
      <c r="AR28" s="25">
        <v>4456</v>
      </c>
      <c r="AS28" s="25">
        <v>20820.099999999999</v>
      </c>
      <c r="AT28" s="27">
        <v>1991</v>
      </c>
      <c r="AU28" s="25">
        <v>8605</v>
      </c>
      <c r="AV28" s="25">
        <v>4006</v>
      </c>
      <c r="AW28" s="25">
        <v>799</v>
      </c>
      <c r="AX28" s="25">
        <v>570</v>
      </c>
      <c r="AY28" s="25">
        <v>0</v>
      </c>
      <c r="AZ28" s="25">
        <v>49676</v>
      </c>
      <c r="BA28" s="25">
        <v>24170</v>
      </c>
      <c r="BB28" s="26" t="s">
        <v>45</v>
      </c>
      <c r="BC28" s="25">
        <v>466.5</v>
      </c>
      <c r="BD28" s="25">
        <v>63525</v>
      </c>
      <c r="BE28" s="25">
        <v>151817.5</v>
      </c>
      <c r="BF28" s="27">
        <v>1991</v>
      </c>
      <c r="BG28" s="28">
        <v>27280.527979207713</v>
      </c>
      <c r="BH28" s="26" t="s">
        <v>45</v>
      </c>
      <c r="BI28" s="28">
        <v>11254.472020792287</v>
      </c>
      <c r="BJ28" s="26" t="s">
        <v>45</v>
      </c>
      <c r="BK28" s="28">
        <f t="shared" si="0"/>
        <v>655757</v>
      </c>
      <c r="BL28" s="24">
        <v>1991</v>
      </c>
      <c r="BM28" s="28">
        <v>655757</v>
      </c>
    </row>
    <row r="29" spans="1:65" ht="12.5">
      <c r="A29" s="24">
        <v>1992</v>
      </c>
      <c r="B29" s="25">
        <v>4375</v>
      </c>
      <c r="C29" s="25">
        <v>3601</v>
      </c>
      <c r="D29" s="25">
        <v>14</v>
      </c>
      <c r="E29" s="25">
        <v>534</v>
      </c>
      <c r="F29" s="25">
        <v>0</v>
      </c>
      <c r="G29" s="25">
        <v>11380</v>
      </c>
      <c r="H29" s="25">
        <v>8194</v>
      </c>
      <c r="I29" s="25"/>
      <c r="J29" s="25">
        <v>278.60000000000002</v>
      </c>
      <c r="K29" s="25">
        <v>8334</v>
      </c>
      <c r="L29" s="25">
        <v>36710.6</v>
      </c>
      <c r="M29" s="27">
        <v>1992</v>
      </c>
      <c r="N29" s="26" t="s">
        <v>45</v>
      </c>
      <c r="O29" s="25">
        <v>0</v>
      </c>
      <c r="P29" s="25">
        <v>461</v>
      </c>
      <c r="Q29" s="25">
        <v>715</v>
      </c>
      <c r="R29" s="26" t="s">
        <v>45</v>
      </c>
      <c r="S29" s="25">
        <v>39363</v>
      </c>
      <c r="T29" s="26" t="s">
        <v>45</v>
      </c>
      <c r="U29" s="26" t="s">
        <v>45</v>
      </c>
      <c r="V29" s="25">
        <v>0</v>
      </c>
      <c r="W29" s="25">
        <v>1377</v>
      </c>
      <c r="X29" s="25">
        <v>7435</v>
      </c>
      <c r="Y29" s="26" t="s">
        <v>45</v>
      </c>
      <c r="Z29" s="25">
        <v>49355</v>
      </c>
      <c r="AA29" s="27">
        <v>1992</v>
      </c>
      <c r="AB29" s="25">
        <v>3105</v>
      </c>
      <c r="AC29" s="25">
        <v>176</v>
      </c>
      <c r="AD29" s="25">
        <v>709</v>
      </c>
      <c r="AE29" s="25">
        <v>28389</v>
      </c>
      <c r="AF29" s="25">
        <v>8555</v>
      </c>
      <c r="AG29" s="26" t="s">
        <v>45</v>
      </c>
      <c r="AH29" s="25">
        <v>243.3</v>
      </c>
      <c r="AI29" s="25">
        <v>2889</v>
      </c>
      <c r="AJ29" s="25">
        <v>44066.3</v>
      </c>
      <c r="AK29" s="27">
        <v>1992</v>
      </c>
      <c r="AL29" s="25">
        <v>622</v>
      </c>
      <c r="AM29" s="25">
        <v>88</v>
      </c>
      <c r="AN29" s="25">
        <v>8585</v>
      </c>
      <c r="AO29" s="25">
        <v>6996</v>
      </c>
      <c r="AP29" s="26" t="s">
        <v>45</v>
      </c>
      <c r="AQ29" s="25">
        <v>150.19999999999999</v>
      </c>
      <c r="AR29" s="25">
        <v>4518</v>
      </c>
      <c r="AS29" s="25">
        <v>20959.2</v>
      </c>
      <c r="AT29" s="27">
        <v>1992</v>
      </c>
      <c r="AU29" s="25">
        <v>8101</v>
      </c>
      <c r="AV29" s="25">
        <v>3866</v>
      </c>
      <c r="AW29" s="25">
        <v>723</v>
      </c>
      <c r="AX29" s="25">
        <v>534</v>
      </c>
      <c r="AY29" s="25">
        <v>0</v>
      </c>
      <c r="AZ29" s="25">
        <v>48357</v>
      </c>
      <c r="BA29" s="25">
        <v>24206</v>
      </c>
      <c r="BB29" s="26" t="s">
        <v>45</v>
      </c>
      <c r="BC29" s="25">
        <v>672.10000000000014</v>
      </c>
      <c r="BD29" s="25">
        <v>64632</v>
      </c>
      <c r="BE29" s="25">
        <v>151091.1</v>
      </c>
      <c r="BF29" s="27">
        <v>1992</v>
      </c>
      <c r="BG29" s="28">
        <v>28007.020383967472</v>
      </c>
      <c r="BH29" s="26" t="s">
        <v>45</v>
      </c>
      <c r="BI29" s="28">
        <v>11355.97961603253</v>
      </c>
      <c r="BJ29" s="26" t="s">
        <v>45</v>
      </c>
      <c r="BK29" s="28">
        <f t="shared" si="0"/>
        <v>653683.4</v>
      </c>
      <c r="BL29" s="24">
        <v>1992</v>
      </c>
      <c r="BM29" s="28">
        <v>653683.4</v>
      </c>
    </row>
    <row r="30" spans="1:65" ht="12.5">
      <c r="A30" s="24">
        <v>1993</v>
      </c>
      <c r="B30" s="25">
        <v>3553</v>
      </c>
      <c r="C30" s="25">
        <v>3613</v>
      </c>
      <c r="D30" s="25">
        <v>7</v>
      </c>
      <c r="E30" s="25">
        <v>560</v>
      </c>
      <c r="F30" s="25">
        <v>0</v>
      </c>
      <c r="G30" s="25">
        <v>11521</v>
      </c>
      <c r="H30" s="25">
        <v>8328</v>
      </c>
      <c r="I30" s="25"/>
      <c r="J30" s="25">
        <v>265.8</v>
      </c>
      <c r="K30" s="25">
        <v>8592</v>
      </c>
      <c r="L30" s="25">
        <v>36439.800000000003</v>
      </c>
      <c r="M30" s="27">
        <v>1993</v>
      </c>
      <c r="N30" s="26" t="s">
        <v>45</v>
      </c>
      <c r="O30" s="25">
        <v>0</v>
      </c>
      <c r="P30" s="25">
        <v>641</v>
      </c>
      <c r="Q30" s="25">
        <v>665</v>
      </c>
      <c r="R30" s="26" t="s">
        <v>45</v>
      </c>
      <c r="S30" s="25">
        <v>39502</v>
      </c>
      <c r="T30" s="26" t="s">
        <v>45</v>
      </c>
      <c r="U30" s="26" t="s">
        <v>45</v>
      </c>
      <c r="V30" s="25">
        <v>0</v>
      </c>
      <c r="W30" s="25">
        <v>1341</v>
      </c>
      <c r="X30" s="25">
        <v>7871</v>
      </c>
      <c r="Y30" s="26" t="s">
        <v>45</v>
      </c>
      <c r="Z30" s="25">
        <v>50024</v>
      </c>
      <c r="AA30" s="27">
        <v>1993</v>
      </c>
      <c r="AB30" s="25">
        <v>3498</v>
      </c>
      <c r="AC30" s="25">
        <v>147</v>
      </c>
      <c r="AD30" s="25">
        <v>751</v>
      </c>
      <c r="AE30" s="25">
        <v>29254</v>
      </c>
      <c r="AF30" s="25">
        <v>8639</v>
      </c>
      <c r="AG30" s="26" t="s">
        <v>45</v>
      </c>
      <c r="AH30" s="25">
        <v>240.6</v>
      </c>
      <c r="AI30" s="25">
        <v>3019</v>
      </c>
      <c r="AJ30" s="25">
        <v>45548.6</v>
      </c>
      <c r="AK30" s="27">
        <v>1993</v>
      </c>
      <c r="AL30" s="25">
        <v>566</v>
      </c>
      <c r="AM30" s="25">
        <v>74</v>
      </c>
      <c r="AN30" s="25">
        <v>8504</v>
      </c>
      <c r="AO30" s="25">
        <v>6999</v>
      </c>
      <c r="AP30" s="26" t="s">
        <v>45</v>
      </c>
      <c r="AQ30" s="25">
        <v>145.5</v>
      </c>
      <c r="AR30" s="25">
        <v>4446</v>
      </c>
      <c r="AS30" s="25">
        <v>20734.5</v>
      </c>
      <c r="AT30" s="27">
        <v>1993</v>
      </c>
      <c r="AU30" s="25">
        <v>7617</v>
      </c>
      <c r="AV30" s="25">
        <v>3833</v>
      </c>
      <c r="AW30" s="25">
        <v>758</v>
      </c>
      <c r="AX30" s="25">
        <v>560</v>
      </c>
      <c r="AY30" s="25">
        <v>0</v>
      </c>
      <c r="AZ30" s="25">
        <v>49282</v>
      </c>
      <c r="BA30" s="25">
        <v>24607</v>
      </c>
      <c r="BB30" s="26" t="s">
        <v>45</v>
      </c>
      <c r="BC30" s="25">
        <v>651.9</v>
      </c>
      <c r="BD30" s="25">
        <v>65437</v>
      </c>
      <c r="BE30" s="25">
        <v>152746.9</v>
      </c>
      <c r="BF30" s="27">
        <v>1993</v>
      </c>
      <c r="BG30" s="28">
        <v>28089.760643600257</v>
      </c>
      <c r="BH30" s="26" t="s">
        <v>45</v>
      </c>
      <c r="BI30" s="28">
        <v>11412.239356399745</v>
      </c>
      <c r="BJ30" s="26" t="s">
        <v>45</v>
      </c>
      <c r="BK30" s="28">
        <f t="shared" si="0"/>
        <v>660449.6</v>
      </c>
      <c r="BL30" s="24">
        <v>1993</v>
      </c>
      <c r="BM30" s="28">
        <v>660449.6</v>
      </c>
    </row>
    <row r="31" spans="1:65" ht="12.5">
      <c r="A31" s="24">
        <v>1994</v>
      </c>
      <c r="B31" s="25">
        <v>3402</v>
      </c>
      <c r="C31" s="25">
        <v>3818</v>
      </c>
      <c r="D31" s="25">
        <v>194</v>
      </c>
      <c r="E31" s="25">
        <v>590</v>
      </c>
      <c r="F31" s="25">
        <v>0</v>
      </c>
      <c r="G31" s="25">
        <v>12885</v>
      </c>
      <c r="H31" s="25">
        <v>8082</v>
      </c>
      <c r="I31" s="25"/>
      <c r="J31" s="25">
        <v>487.3</v>
      </c>
      <c r="K31" s="25">
        <v>8253</v>
      </c>
      <c r="L31" s="25">
        <v>37711.300000000003</v>
      </c>
      <c r="M31" s="27">
        <v>1994</v>
      </c>
      <c r="N31" s="26" t="s">
        <v>45</v>
      </c>
      <c r="O31" s="25">
        <v>0</v>
      </c>
      <c r="P31" s="25">
        <v>599</v>
      </c>
      <c r="Q31" s="25">
        <v>651</v>
      </c>
      <c r="R31" s="26" t="s">
        <v>45</v>
      </c>
      <c r="S31" s="25">
        <v>39690</v>
      </c>
      <c r="T31" s="26" t="s">
        <v>45</v>
      </c>
      <c r="U31" s="26" t="s">
        <v>45</v>
      </c>
      <c r="V31" s="25">
        <v>0</v>
      </c>
      <c r="W31" s="25">
        <v>1239</v>
      </c>
      <c r="X31" s="25">
        <v>8070</v>
      </c>
      <c r="Y31" s="26" t="s">
        <v>45</v>
      </c>
      <c r="Z31" s="25">
        <v>50253</v>
      </c>
      <c r="AA31" s="27">
        <v>1994</v>
      </c>
      <c r="AB31" s="25">
        <v>2957</v>
      </c>
      <c r="AC31" s="25">
        <v>67</v>
      </c>
      <c r="AD31" s="25">
        <v>601</v>
      </c>
      <c r="AE31" s="25">
        <v>28355</v>
      </c>
      <c r="AF31" s="25">
        <v>8721</v>
      </c>
      <c r="AG31" s="26" t="s">
        <v>45</v>
      </c>
      <c r="AH31" s="25">
        <v>241.6</v>
      </c>
      <c r="AI31" s="25">
        <v>3004</v>
      </c>
      <c r="AJ31" s="25">
        <v>43946.6</v>
      </c>
      <c r="AK31" s="27">
        <v>1994</v>
      </c>
      <c r="AL31" s="25">
        <v>496</v>
      </c>
      <c r="AM31" s="25">
        <v>34</v>
      </c>
      <c r="AN31" s="25">
        <v>8695</v>
      </c>
      <c r="AO31" s="25">
        <v>6951</v>
      </c>
      <c r="AP31" s="26" t="s">
        <v>45</v>
      </c>
      <c r="AQ31" s="25">
        <v>172</v>
      </c>
      <c r="AR31" s="25">
        <v>4289</v>
      </c>
      <c r="AS31" s="25">
        <v>20637</v>
      </c>
      <c r="AT31" s="27">
        <v>1994</v>
      </c>
      <c r="AU31" s="25">
        <v>6855</v>
      </c>
      <c r="AV31" s="25">
        <v>3919</v>
      </c>
      <c r="AW31" s="25">
        <v>795</v>
      </c>
      <c r="AX31" s="25">
        <v>590</v>
      </c>
      <c r="AY31" s="25">
        <v>0</v>
      </c>
      <c r="AZ31" s="25">
        <v>49935</v>
      </c>
      <c r="BA31" s="25">
        <v>24353</v>
      </c>
      <c r="BB31" s="26" t="s">
        <v>45</v>
      </c>
      <c r="BC31" s="25">
        <v>900.9</v>
      </c>
      <c r="BD31" s="25">
        <v>65196</v>
      </c>
      <c r="BE31" s="25">
        <v>152547.9</v>
      </c>
      <c r="BF31" s="27">
        <v>1994</v>
      </c>
      <c r="BG31" s="28">
        <v>27880.629553015315</v>
      </c>
      <c r="BH31" s="26" t="s">
        <v>45</v>
      </c>
      <c r="BI31" s="28">
        <v>11809.370446984683</v>
      </c>
      <c r="BJ31" s="26" t="s">
        <v>45</v>
      </c>
      <c r="BK31" s="28">
        <f t="shared" si="0"/>
        <v>659843.6</v>
      </c>
      <c r="BL31" s="24">
        <v>1994</v>
      </c>
      <c r="BM31" s="28">
        <v>659843.6</v>
      </c>
    </row>
    <row r="32" spans="1:65" ht="12.5">
      <c r="A32" s="24">
        <v>1995</v>
      </c>
      <c r="B32" s="25">
        <v>2840</v>
      </c>
      <c r="C32" s="25">
        <v>3750</v>
      </c>
      <c r="D32" s="25">
        <v>184</v>
      </c>
      <c r="E32" s="25">
        <v>576.49</v>
      </c>
      <c r="F32" s="25">
        <v>0</v>
      </c>
      <c r="G32" s="25">
        <v>12679.621668099731</v>
      </c>
      <c r="H32" s="25">
        <v>8654.4453998280333</v>
      </c>
      <c r="I32" s="25"/>
      <c r="J32" s="25">
        <v>525.9</v>
      </c>
      <c r="K32" s="25">
        <v>7066</v>
      </c>
      <c r="L32" s="25">
        <v>36276.457067927768</v>
      </c>
      <c r="M32" s="27">
        <v>1995</v>
      </c>
      <c r="N32" s="26" t="s">
        <v>45</v>
      </c>
      <c r="O32" s="25">
        <v>0</v>
      </c>
      <c r="P32" s="25">
        <v>636</v>
      </c>
      <c r="Q32" s="25">
        <v>654</v>
      </c>
      <c r="R32" s="26" t="s">
        <v>45</v>
      </c>
      <c r="S32" s="25">
        <v>39268</v>
      </c>
      <c r="T32" s="26" t="s">
        <v>45</v>
      </c>
      <c r="U32" s="26" t="s">
        <v>45</v>
      </c>
      <c r="V32" s="25">
        <v>0</v>
      </c>
      <c r="W32" s="25">
        <v>1193</v>
      </c>
      <c r="X32" s="25">
        <v>8485</v>
      </c>
      <c r="Y32" s="26" t="s">
        <v>45</v>
      </c>
      <c r="Z32" s="25">
        <v>50238</v>
      </c>
      <c r="AA32" s="27">
        <v>1995</v>
      </c>
      <c r="AB32" s="25">
        <v>2077</v>
      </c>
      <c r="AC32" s="25">
        <v>78</v>
      </c>
      <c r="AD32" s="25">
        <v>470</v>
      </c>
      <c r="AE32" s="25">
        <v>28037</v>
      </c>
      <c r="AF32" s="25">
        <v>8790</v>
      </c>
      <c r="AG32" s="26" t="s">
        <v>45</v>
      </c>
      <c r="AH32" s="25">
        <v>241.7</v>
      </c>
      <c r="AI32" s="25">
        <v>2997</v>
      </c>
      <c r="AJ32" s="25">
        <v>42690.7</v>
      </c>
      <c r="AK32" s="27">
        <v>1995</v>
      </c>
      <c r="AL32" s="25">
        <v>362</v>
      </c>
      <c r="AM32" s="25">
        <v>39</v>
      </c>
      <c r="AN32" s="25">
        <v>9374</v>
      </c>
      <c r="AO32" s="25">
        <v>7199</v>
      </c>
      <c r="AP32" s="26" t="s">
        <v>45</v>
      </c>
      <c r="AQ32" s="25">
        <v>188.8</v>
      </c>
      <c r="AR32" s="25">
        <v>4016</v>
      </c>
      <c r="AS32" s="25">
        <v>21178.799999999999</v>
      </c>
      <c r="AT32" s="27">
        <v>1995</v>
      </c>
      <c r="AU32" s="25">
        <v>5279</v>
      </c>
      <c r="AV32" s="25">
        <v>3867</v>
      </c>
      <c r="AW32" s="25">
        <v>654</v>
      </c>
      <c r="AX32" s="25">
        <v>576.49</v>
      </c>
      <c r="AY32" s="25">
        <v>0</v>
      </c>
      <c r="AZ32" s="25">
        <v>50090.621668099731</v>
      </c>
      <c r="BA32" s="25">
        <v>25279.445399828033</v>
      </c>
      <c r="BB32" s="26" t="s">
        <v>45</v>
      </c>
      <c r="BC32" s="25">
        <v>956.39999999999986</v>
      </c>
      <c r="BD32" s="25">
        <v>63679</v>
      </c>
      <c r="BE32" s="25">
        <v>150383.95706792775</v>
      </c>
      <c r="BF32" s="27">
        <v>1995</v>
      </c>
      <c r="BG32" s="28">
        <v>27575.052506473679</v>
      </c>
      <c r="BH32" s="26" t="s">
        <v>45</v>
      </c>
      <c r="BI32" s="28">
        <v>11692.947493526319</v>
      </c>
      <c r="BJ32" s="26" t="s">
        <v>45</v>
      </c>
      <c r="BK32" s="28">
        <f t="shared" si="0"/>
        <v>650774.82827171101</v>
      </c>
      <c r="BL32" s="24">
        <v>1995</v>
      </c>
      <c r="BM32" s="28">
        <v>650774.82827171101</v>
      </c>
    </row>
    <row r="33" spans="1:65" ht="12.5">
      <c r="A33" s="24">
        <v>1996</v>
      </c>
      <c r="B33" s="25">
        <v>1959.4604401333877</v>
      </c>
      <c r="C33" s="25">
        <v>855.29747778733156</v>
      </c>
      <c r="D33" s="25">
        <v>232.80261775102701</v>
      </c>
      <c r="E33" s="25">
        <v>439.09986000000004</v>
      </c>
      <c r="F33" s="25">
        <v>0</v>
      </c>
      <c r="G33" s="25">
        <v>14080.851246775579</v>
      </c>
      <c r="H33" s="25">
        <v>9004.0835399999978</v>
      </c>
      <c r="I33" s="25"/>
      <c r="J33" s="25">
        <v>532.5</v>
      </c>
      <c r="K33" s="25">
        <v>7058.0414471449803</v>
      </c>
      <c r="L33" s="25">
        <v>34470.202969592305</v>
      </c>
      <c r="M33" s="27">
        <v>1996</v>
      </c>
      <c r="N33" s="26" t="s">
        <v>45</v>
      </c>
      <c r="O33" s="25">
        <v>0</v>
      </c>
      <c r="P33" s="25">
        <v>709.59294</v>
      </c>
      <c r="Q33" s="25">
        <v>628.58002699194799</v>
      </c>
      <c r="R33" s="26" t="s">
        <v>45</v>
      </c>
      <c r="S33" s="25">
        <v>40771.540699105928</v>
      </c>
      <c r="T33" s="26" t="s">
        <v>45</v>
      </c>
      <c r="U33" s="26" t="s">
        <v>45</v>
      </c>
      <c r="V33" s="25">
        <v>0</v>
      </c>
      <c r="W33" s="25">
        <v>1294.4309898408392</v>
      </c>
      <c r="X33" s="25">
        <v>8917.2345415825384</v>
      </c>
      <c r="Y33" s="26" t="s">
        <v>45</v>
      </c>
      <c r="Z33" s="25">
        <v>52321.379197521259</v>
      </c>
      <c r="AA33" s="27">
        <v>1996</v>
      </c>
      <c r="AB33" s="25">
        <v>2084.4311098952689</v>
      </c>
      <c r="AC33" s="25">
        <v>128.82869972293875</v>
      </c>
      <c r="AD33" s="25">
        <v>587.84202732397057</v>
      </c>
      <c r="AE33" s="25">
        <v>32316.543422184008</v>
      </c>
      <c r="AF33" s="25">
        <v>9243.96774</v>
      </c>
      <c r="AG33" s="26" t="s">
        <v>45</v>
      </c>
      <c r="AH33" s="25">
        <v>240.49999999999997</v>
      </c>
      <c r="AI33" s="25">
        <v>3517.7718230838232</v>
      </c>
      <c r="AJ33" s="25">
        <v>48119.884822210006</v>
      </c>
      <c r="AK33" s="27">
        <v>1996</v>
      </c>
      <c r="AL33" s="25">
        <v>384.68479760152331</v>
      </c>
      <c r="AM33" s="25">
        <v>0</v>
      </c>
      <c r="AN33" s="25">
        <v>10138.228718830611</v>
      </c>
      <c r="AO33" s="25">
        <v>7494.8765999999996</v>
      </c>
      <c r="AP33" s="26" t="s">
        <v>45</v>
      </c>
      <c r="AQ33" s="25">
        <v>181.30000000000004</v>
      </c>
      <c r="AR33" s="25">
        <v>3908.6701899903269</v>
      </c>
      <c r="AS33" s="25">
        <v>22107.76030642246</v>
      </c>
      <c r="AT33" s="27">
        <v>1996</v>
      </c>
      <c r="AU33" s="25">
        <v>4428.57634763018</v>
      </c>
      <c r="AV33" s="25">
        <v>984.12617751027028</v>
      </c>
      <c r="AW33" s="25">
        <v>820.64464507499758</v>
      </c>
      <c r="AX33" s="25">
        <v>439.09986000000004</v>
      </c>
      <c r="AY33" s="25">
        <v>0</v>
      </c>
      <c r="AZ33" s="25">
        <v>56535.623387790198</v>
      </c>
      <c r="BA33" s="25">
        <v>26452.520819999998</v>
      </c>
      <c r="BB33" s="26" t="s">
        <v>45</v>
      </c>
      <c r="BC33" s="25">
        <v>954.30000000000007</v>
      </c>
      <c r="BD33" s="25">
        <v>66096.269717740375</v>
      </c>
      <c r="BE33" s="25">
        <v>157019.22729574601</v>
      </c>
      <c r="BF33" s="27">
        <v>1996</v>
      </c>
      <c r="BG33" s="28">
        <v>28662.569808093456</v>
      </c>
      <c r="BH33" s="26" t="s">
        <v>45</v>
      </c>
      <c r="BI33" s="28">
        <v>12108.970891012474</v>
      </c>
      <c r="BJ33" s="26" t="s">
        <v>45</v>
      </c>
      <c r="BK33" s="28">
        <f t="shared" si="0"/>
        <v>678212.31720209005</v>
      </c>
      <c r="BL33" s="24">
        <v>1996</v>
      </c>
      <c r="BM33" s="28">
        <v>678212.31720209005</v>
      </c>
    </row>
    <row r="34" spans="1:65" ht="12.5">
      <c r="A34" s="24">
        <v>1997</v>
      </c>
      <c r="B34" s="25">
        <v>1963.1071607044119</v>
      </c>
      <c r="C34" s="25">
        <v>787.26870163370586</v>
      </c>
      <c r="D34" s="25">
        <v>248.88711780744961</v>
      </c>
      <c r="E34" s="25">
        <v>457.17970765262254</v>
      </c>
      <c r="F34" s="25">
        <v>0</v>
      </c>
      <c r="G34" s="25">
        <v>14754.084264832329</v>
      </c>
      <c r="H34" s="25">
        <v>9188.6500429922598</v>
      </c>
      <c r="I34" s="25"/>
      <c r="J34" s="25">
        <v>532</v>
      </c>
      <c r="K34" s="25">
        <v>6314.6608698091777</v>
      </c>
      <c r="L34" s="25">
        <v>34577.480169817172</v>
      </c>
      <c r="M34" s="27">
        <v>1997</v>
      </c>
      <c r="N34" s="26" t="s">
        <v>45</v>
      </c>
      <c r="O34" s="25">
        <v>0</v>
      </c>
      <c r="P34" s="25">
        <v>729.14875322441958</v>
      </c>
      <c r="Q34" s="25">
        <v>515.94343317983123</v>
      </c>
      <c r="R34" s="26" t="s">
        <v>45</v>
      </c>
      <c r="S34" s="25">
        <v>41259.448133880949</v>
      </c>
      <c r="T34" s="26" t="s">
        <v>45</v>
      </c>
      <c r="U34" s="26" t="s">
        <v>45</v>
      </c>
      <c r="V34" s="25">
        <v>0</v>
      </c>
      <c r="W34" s="25">
        <v>1255.692903505746</v>
      </c>
      <c r="X34" s="25">
        <v>9322.297282639609</v>
      </c>
      <c r="Y34" s="26" t="s">
        <v>45</v>
      </c>
      <c r="Z34" s="25">
        <v>53082.530506430558</v>
      </c>
      <c r="AA34" s="27">
        <v>1997</v>
      </c>
      <c r="AB34" s="25">
        <v>1992.2624096867032</v>
      </c>
      <c r="AC34" s="25">
        <v>59.076144071844844</v>
      </c>
      <c r="AD34" s="25">
        <v>418.57429538167571</v>
      </c>
      <c r="AE34" s="25">
        <v>29710.404127257094</v>
      </c>
      <c r="AF34" s="25">
        <v>8981.5133276010311</v>
      </c>
      <c r="AG34" s="26" t="s">
        <v>45</v>
      </c>
      <c r="AH34" s="25">
        <v>224.82</v>
      </c>
      <c r="AI34" s="25">
        <v>3388.7388704090476</v>
      </c>
      <c r="AJ34" s="25">
        <v>44775.389174407392</v>
      </c>
      <c r="AK34" s="27">
        <v>1997</v>
      </c>
      <c r="AL34" s="25">
        <v>375.42882467414279</v>
      </c>
      <c r="AM34" s="25">
        <v>0</v>
      </c>
      <c r="AN34" s="25">
        <v>9697.0765262252862</v>
      </c>
      <c r="AO34" s="25">
        <v>7859.3293207222669</v>
      </c>
      <c r="AP34" s="26" t="s">
        <v>45</v>
      </c>
      <c r="AQ34" s="25">
        <v>173.63439380911439</v>
      </c>
      <c r="AR34" s="25">
        <v>3361.516395428313</v>
      </c>
      <c r="AS34" s="25">
        <v>21466.985460859127</v>
      </c>
      <c r="AT34" s="27">
        <v>1997</v>
      </c>
      <c r="AU34" s="25">
        <v>4330.7983950652579</v>
      </c>
      <c r="AV34" s="25">
        <v>846.34484570555071</v>
      </c>
      <c r="AW34" s="25">
        <v>667.46141318912532</v>
      </c>
      <c r="AX34" s="25">
        <v>457.17970765262254</v>
      </c>
      <c r="AY34" s="25">
        <v>0</v>
      </c>
      <c r="AZ34" s="25">
        <v>54161.564918314703</v>
      </c>
      <c r="BA34" s="25">
        <v>26758.641444539979</v>
      </c>
      <c r="BB34" s="26" t="s">
        <v>45</v>
      </c>
      <c r="BC34" s="25">
        <v>930.45439380911432</v>
      </c>
      <c r="BD34" s="25">
        <v>65418.29788885267</v>
      </c>
      <c r="BE34" s="25">
        <v>153902.38531151426</v>
      </c>
      <c r="BF34" s="27">
        <v>1997</v>
      </c>
      <c r="BG34" s="28">
        <v>28912.613534916847</v>
      </c>
      <c r="BH34" s="26" t="s">
        <v>45</v>
      </c>
      <c r="BI34" s="28">
        <v>12346.834598964106</v>
      </c>
      <c r="BJ34" s="26" t="s">
        <v>45</v>
      </c>
      <c r="BK34" s="28">
        <f t="shared" si="0"/>
        <v>666190.7047711676</v>
      </c>
      <c r="BL34" s="24">
        <v>1997</v>
      </c>
      <c r="BM34" s="28">
        <v>666190.7047711676</v>
      </c>
    </row>
    <row r="35" spans="1:65" ht="12.5">
      <c r="A35" s="24">
        <v>1998</v>
      </c>
      <c r="B35" s="25">
        <v>1606.8251093521819</v>
      </c>
      <c r="C35" s="25">
        <v>803.21486576860605</v>
      </c>
      <c r="D35" s="25">
        <v>242.79659883443207</v>
      </c>
      <c r="E35" s="25">
        <v>384.86672398968182</v>
      </c>
      <c r="F35" s="25">
        <v>0</v>
      </c>
      <c r="G35" s="25">
        <v>15140.498710232157</v>
      </c>
      <c r="H35" s="25">
        <v>9215.5631986242479</v>
      </c>
      <c r="I35" s="25"/>
      <c r="J35" s="25">
        <v>460.9</v>
      </c>
      <c r="K35" s="25">
        <v>6379.1577292778093</v>
      </c>
      <c r="L35" s="25">
        <v>34512.154836337068</v>
      </c>
      <c r="M35" s="27">
        <v>1998</v>
      </c>
      <c r="N35" s="26" t="s">
        <v>45</v>
      </c>
      <c r="O35" s="25">
        <v>0</v>
      </c>
      <c r="P35" s="25">
        <v>731.81427343078246</v>
      </c>
      <c r="Q35" s="25">
        <v>607.62014914699739</v>
      </c>
      <c r="R35" s="26" t="s">
        <v>45</v>
      </c>
      <c r="S35" s="25">
        <v>41020.32788860162</v>
      </c>
      <c r="T35" s="26" t="s">
        <v>45</v>
      </c>
      <c r="U35" s="26" t="s">
        <v>45</v>
      </c>
      <c r="V35" s="25">
        <v>0</v>
      </c>
      <c r="W35" s="25">
        <v>1175.2567727028227</v>
      </c>
      <c r="X35" s="25">
        <v>10236.967389892863</v>
      </c>
      <c r="Y35" s="26" t="s">
        <v>45</v>
      </c>
      <c r="Z35" s="25">
        <v>53771.98647377509</v>
      </c>
      <c r="AA35" s="27">
        <v>1998</v>
      </c>
      <c r="AB35" s="25">
        <v>1818.9019383406535</v>
      </c>
      <c r="AC35" s="25">
        <v>85.411292633992545</v>
      </c>
      <c r="AD35" s="25">
        <v>439.42481131174162</v>
      </c>
      <c r="AE35" s="25">
        <v>30601.461736887359</v>
      </c>
      <c r="AF35" s="25">
        <v>9407.5666380051589</v>
      </c>
      <c r="AG35" s="26" t="s">
        <v>45</v>
      </c>
      <c r="AH35" s="25">
        <v>230</v>
      </c>
      <c r="AI35" s="25">
        <v>3543.1268719592022</v>
      </c>
      <c r="AJ35" s="25">
        <v>46125.893289138112</v>
      </c>
      <c r="AK35" s="27">
        <v>1998</v>
      </c>
      <c r="AL35" s="25">
        <v>290.50709040852553</v>
      </c>
      <c r="AM35" s="25">
        <v>0</v>
      </c>
      <c r="AN35" s="25">
        <v>10113.843508168531</v>
      </c>
      <c r="AO35" s="25">
        <v>7788.4780739466878</v>
      </c>
      <c r="AP35" s="26" t="s">
        <v>45</v>
      </c>
      <c r="AQ35" s="25">
        <v>174.24</v>
      </c>
      <c r="AR35" s="25">
        <v>3144.0476081208467</v>
      </c>
      <c r="AS35" s="25">
        <v>21511.116280644594</v>
      </c>
      <c r="AT35" s="27">
        <v>1998</v>
      </c>
      <c r="AU35" s="25">
        <v>3716.2341381013607</v>
      </c>
      <c r="AV35" s="25">
        <v>888.62615840259855</v>
      </c>
      <c r="AW35" s="25">
        <v>682.22141014617364</v>
      </c>
      <c r="AX35" s="25">
        <v>384.86672398968182</v>
      </c>
      <c r="AY35" s="25">
        <v>0</v>
      </c>
      <c r="AZ35" s="25">
        <v>55855.803955288051</v>
      </c>
      <c r="BA35" s="25">
        <v>27143.422184006879</v>
      </c>
      <c r="BB35" s="26" t="s">
        <v>45</v>
      </c>
      <c r="BC35" s="25">
        <v>865.14</v>
      </c>
      <c r="BD35" s="25">
        <v>66106.50440970216</v>
      </c>
      <c r="BE35" s="25">
        <v>155921.15087989485</v>
      </c>
      <c r="BF35" s="27">
        <v>1998</v>
      </c>
      <c r="BG35" s="28">
        <v>28792.658559792606</v>
      </c>
      <c r="BH35" s="26" t="s">
        <v>45</v>
      </c>
      <c r="BI35" s="28">
        <v>12227.669328809012</v>
      </c>
      <c r="BJ35" s="26" t="s">
        <v>45</v>
      </c>
      <c r="BK35" s="28">
        <f t="shared" si="0"/>
        <v>674138.26760766504</v>
      </c>
      <c r="BL35" s="24">
        <v>1998</v>
      </c>
      <c r="BM35" s="28">
        <v>674138.26760766504</v>
      </c>
    </row>
    <row r="36" spans="1:65" ht="12.5">
      <c r="A36" s="24">
        <v>1999</v>
      </c>
      <c r="B36" s="25">
        <v>1353.4860278212195</v>
      </c>
      <c r="C36" s="25">
        <v>819.69045571797074</v>
      </c>
      <c r="D36" s="25">
        <v>215.26268271711092</v>
      </c>
      <c r="E36" s="25">
        <v>205.07308684436799</v>
      </c>
      <c r="F36" s="25">
        <v>0</v>
      </c>
      <c r="G36" s="25">
        <v>15203.353396388648</v>
      </c>
      <c r="H36" s="25">
        <v>9542.3903697334481</v>
      </c>
      <c r="I36" s="25">
        <v>1086.1661188306107</v>
      </c>
      <c r="J36" s="25">
        <v>283.2</v>
      </c>
      <c r="K36" s="25">
        <v>5374.2926994359959</v>
      </c>
      <c r="L36" s="25">
        <v>34221.865826311383</v>
      </c>
      <c r="M36" s="27">
        <v>1999</v>
      </c>
      <c r="N36" s="26" t="s">
        <v>45</v>
      </c>
      <c r="O36" s="25">
        <v>0</v>
      </c>
      <c r="P36" s="25">
        <v>737.65326741186573</v>
      </c>
      <c r="Q36" s="25">
        <v>632.31389741147257</v>
      </c>
      <c r="R36" s="26" t="s">
        <v>45</v>
      </c>
      <c r="S36" s="25">
        <v>41398.592592669564</v>
      </c>
      <c r="T36" s="26" t="s">
        <v>45</v>
      </c>
      <c r="U36" s="26" t="s">
        <v>45</v>
      </c>
      <c r="V36" s="25">
        <v>0</v>
      </c>
      <c r="W36" s="25">
        <v>1067.2426473404764</v>
      </c>
      <c r="X36" s="25">
        <v>11017.294629624945</v>
      </c>
      <c r="Y36" s="26" t="s">
        <v>45</v>
      </c>
      <c r="Z36" s="25">
        <v>54853.097034458326</v>
      </c>
      <c r="AA36" s="27">
        <v>1999</v>
      </c>
      <c r="AB36" s="25">
        <v>1915.7779970188099</v>
      </c>
      <c r="AC36" s="25">
        <v>86.123053405942485</v>
      </c>
      <c r="AD36" s="25">
        <v>409.68825833572174</v>
      </c>
      <c r="AE36" s="25">
        <v>30788.134135855544</v>
      </c>
      <c r="AF36" s="25">
        <v>9484.7807394668962</v>
      </c>
      <c r="AG36" s="25">
        <v>43.615256749785033</v>
      </c>
      <c r="AH36" s="25">
        <v>230.36199999999997</v>
      </c>
      <c r="AI36" s="25">
        <v>3162.3480387070458</v>
      </c>
      <c r="AJ36" s="25">
        <v>46120.829479539738</v>
      </c>
      <c r="AK36" s="27">
        <v>1999</v>
      </c>
      <c r="AL36" s="25">
        <v>189.01528873021516</v>
      </c>
      <c r="AM36" s="25">
        <v>0</v>
      </c>
      <c r="AN36" s="25">
        <v>9156.2338779019774</v>
      </c>
      <c r="AO36" s="25">
        <v>7986.1564918314725</v>
      </c>
      <c r="AP36" s="25">
        <v>1368.2208232158212</v>
      </c>
      <c r="AQ36" s="25">
        <v>174.29999999999995</v>
      </c>
      <c r="AR36" s="25">
        <v>2463.9681997438693</v>
      </c>
      <c r="AS36" s="25">
        <v>21337.894681423357</v>
      </c>
      <c r="AT36" s="27">
        <v>1999</v>
      </c>
      <c r="AU36" s="25">
        <v>3458.2793135702445</v>
      </c>
      <c r="AV36" s="25">
        <v>905.81350912391326</v>
      </c>
      <c r="AW36" s="25">
        <v>624.9509410528326</v>
      </c>
      <c r="AX36" s="25">
        <v>205.07308684436799</v>
      </c>
      <c r="AY36" s="25">
        <v>0</v>
      </c>
      <c r="AZ36" s="25">
        <v>55147.721410146172</v>
      </c>
      <c r="BA36" s="25">
        <v>27750.980868443683</v>
      </c>
      <c r="BB36" s="25">
        <v>2498.0021987962168</v>
      </c>
      <c r="BC36" s="25">
        <v>687.86199999999985</v>
      </c>
      <c r="BD36" s="25">
        <v>65116.052704933369</v>
      </c>
      <c r="BE36" s="25">
        <v>156533.6870217328</v>
      </c>
      <c r="BF36" s="27">
        <v>1999</v>
      </c>
      <c r="BG36" s="28">
        <v>29214.369551104715</v>
      </c>
      <c r="BH36" s="26" t="s">
        <v>45</v>
      </c>
      <c r="BI36" s="28">
        <v>12184.223041564848</v>
      </c>
      <c r="BJ36" s="26" t="s">
        <v>45</v>
      </c>
      <c r="BK36" s="28">
        <f t="shared" si="0"/>
        <v>677250.43870195665</v>
      </c>
      <c r="BL36" s="24">
        <v>1999</v>
      </c>
      <c r="BM36" s="28">
        <v>677250.43870195665</v>
      </c>
    </row>
    <row r="37" spans="1:65" ht="26.15" customHeight="1">
      <c r="A37" s="24">
        <v>2000</v>
      </c>
      <c r="B37" s="25">
        <v>1227.7435056157328</v>
      </c>
      <c r="C37" s="25">
        <v>753.44893474730111</v>
      </c>
      <c r="D37" s="25">
        <v>224.94387121429247</v>
      </c>
      <c r="E37" s="25">
        <v>216.2510748065348</v>
      </c>
      <c r="F37" s="25">
        <v>0</v>
      </c>
      <c r="G37" s="25">
        <v>15773.086844368016</v>
      </c>
      <c r="H37" s="25">
        <v>9811.9518486672387</v>
      </c>
      <c r="I37" s="25">
        <v>1099.4159071367155</v>
      </c>
      <c r="J37" s="25">
        <v>264.06</v>
      </c>
      <c r="K37" s="25">
        <v>6039.4734330869005</v>
      </c>
      <c r="L37" s="25">
        <v>35506.162178026221</v>
      </c>
      <c r="M37" s="27">
        <v>2000</v>
      </c>
      <c r="N37" s="26" t="s">
        <v>45</v>
      </c>
      <c r="O37" s="25">
        <v>0</v>
      </c>
      <c r="P37" s="25">
        <v>741.44453998280301</v>
      </c>
      <c r="Q37" s="25">
        <v>638.84433108777409</v>
      </c>
      <c r="R37" s="26" t="s">
        <v>45</v>
      </c>
      <c r="S37" s="25">
        <v>41070.65569657497</v>
      </c>
      <c r="T37" s="26" t="s">
        <v>45</v>
      </c>
      <c r="U37" s="26" t="s">
        <v>45</v>
      </c>
      <c r="V37" s="25">
        <v>0</v>
      </c>
      <c r="W37" s="25">
        <v>1032.4496257317489</v>
      </c>
      <c r="X37" s="25">
        <v>11977.722693369014</v>
      </c>
      <c r="Y37" s="26" t="s">
        <v>45</v>
      </c>
      <c r="Z37" s="25">
        <v>55461.116886746313</v>
      </c>
      <c r="AA37" s="27">
        <v>2000</v>
      </c>
      <c r="AB37" s="25">
        <v>1448.2970743317337</v>
      </c>
      <c r="AC37" s="25">
        <v>94.664182669341741</v>
      </c>
      <c r="AD37" s="25">
        <v>365.25355880385968</v>
      </c>
      <c r="AE37" s="25">
        <v>31806.448839208941</v>
      </c>
      <c r="AF37" s="25">
        <v>9616.6809974204643</v>
      </c>
      <c r="AG37" s="25">
        <v>44.414961306964749</v>
      </c>
      <c r="AH37" s="25">
        <v>236.02500000000001</v>
      </c>
      <c r="AI37" s="25">
        <v>3239.3917008538378</v>
      </c>
      <c r="AJ37" s="25">
        <v>46851.176314595155</v>
      </c>
      <c r="AK37" s="27">
        <v>2000</v>
      </c>
      <c r="AL37" s="25">
        <v>57.151071998584939</v>
      </c>
      <c r="AM37" s="25">
        <v>0</v>
      </c>
      <c r="AN37" s="25">
        <v>9497.506448839209</v>
      </c>
      <c r="AO37" s="25">
        <v>8154.9441100601889</v>
      </c>
      <c r="AP37" s="25">
        <v>1371.0910576096303</v>
      </c>
      <c r="AQ37" s="25">
        <v>171.98</v>
      </c>
      <c r="AR37" s="25">
        <v>2294.2147039860952</v>
      </c>
      <c r="AS37" s="25">
        <v>21546.887392493703</v>
      </c>
      <c r="AT37" s="27">
        <v>2000</v>
      </c>
      <c r="AU37" s="25">
        <v>2733.1916519460515</v>
      </c>
      <c r="AV37" s="25">
        <v>848.11311741664281</v>
      </c>
      <c r="AW37" s="25">
        <v>590.19743001815209</v>
      </c>
      <c r="AX37" s="25">
        <v>216.2510748065348</v>
      </c>
      <c r="AY37" s="25">
        <v>0</v>
      </c>
      <c r="AZ37" s="25">
        <v>57077.042132416165</v>
      </c>
      <c r="BA37" s="25">
        <v>28325.021496130699</v>
      </c>
      <c r="BB37" s="25">
        <v>2514.92192605331</v>
      </c>
      <c r="BC37" s="25">
        <v>672.06500000000005</v>
      </c>
      <c r="BD37" s="25">
        <v>66292.752184690355</v>
      </c>
      <c r="BE37" s="25">
        <v>159365.34277186138</v>
      </c>
      <c r="BF37" s="27">
        <v>2000</v>
      </c>
      <c r="BG37" s="28">
        <v>29006.741376577527</v>
      </c>
      <c r="BH37" s="26" t="s">
        <v>45</v>
      </c>
      <c r="BI37" s="28">
        <v>12063.914319997448</v>
      </c>
      <c r="BJ37" s="26" t="s">
        <v>45</v>
      </c>
      <c r="BK37" s="28">
        <f t="shared" si="0"/>
        <v>688340.45326725347</v>
      </c>
      <c r="BL37" s="24">
        <v>2000</v>
      </c>
      <c r="BM37" s="28">
        <v>688340.45326725347</v>
      </c>
    </row>
    <row r="38" spans="1:65" ht="12.5">
      <c r="A38" s="24">
        <v>2001</v>
      </c>
      <c r="B38" s="25">
        <v>1194.9551082855401</v>
      </c>
      <c r="C38" s="25">
        <v>718.59176459348419</v>
      </c>
      <c r="D38" s="25">
        <v>210.29304003057223</v>
      </c>
      <c r="E38" s="25">
        <v>154.25623387790196</v>
      </c>
      <c r="F38" s="25">
        <v>0</v>
      </c>
      <c r="G38" s="25">
        <v>15463.714531384348</v>
      </c>
      <c r="H38" s="25">
        <v>9573.34479793637</v>
      </c>
      <c r="I38" s="25">
        <v>1001.227128116939</v>
      </c>
      <c r="J38" s="25">
        <v>243.07</v>
      </c>
      <c r="K38" s="25">
        <v>6611.0456630972494</v>
      </c>
      <c r="L38" s="25">
        <v>35442.639281939766</v>
      </c>
      <c r="M38" s="27">
        <v>2001</v>
      </c>
      <c r="N38" s="26" t="s">
        <v>45</v>
      </c>
      <c r="O38" s="25">
        <v>0</v>
      </c>
      <c r="P38" s="25">
        <v>759.07136715391221</v>
      </c>
      <c r="Q38" s="25">
        <v>664.25644356869179</v>
      </c>
      <c r="R38" s="26" t="s">
        <v>45</v>
      </c>
      <c r="S38" s="25">
        <v>41096.560427636476</v>
      </c>
      <c r="T38" s="26" t="s">
        <v>45</v>
      </c>
      <c r="U38" s="26" t="s">
        <v>45</v>
      </c>
      <c r="V38" s="25">
        <v>0</v>
      </c>
      <c r="W38" s="25">
        <v>843.88785290009378</v>
      </c>
      <c r="X38" s="25">
        <v>11773.505351470245</v>
      </c>
      <c r="Y38" s="26" t="s">
        <v>45</v>
      </c>
      <c r="Z38" s="25">
        <v>55137.281442729422</v>
      </c>
      <c r="AA38" s="27">
        <v>2001</v>
      </c>
      <c r="AB38" s="25">
        <v>1461.1878141354796</v>
      </c>
      <c r="AC38" s="25">
        <v>47.687971720645841</v>
      </c>
      <c r="AD38" s="25">
        <v>328.27051686252025</v>
      </c>
      <c r="AE38" s="25">
        <v>32624.763542562338</v>
      </c>
      <c r="AF38" s="25">
        <v>9917.1969045571786</v>
      </c>
      <c r="AG38" s="25">
        <v>31.877487446259675</v>
      </c>
      <c r="AH38" s="25">
        <v>240.44</v>
      </c>
      <c r="AI38" s="25">
        <v>3526.9046276978524</v>
      </c>
      <c r="AJ38" s="25">
        <v>48178.328864982279</v>
      </c>
      <c r="AK38" s="27">
        <v>2001</v>
      </c>
      <c r="AL38" s="25">
        <v>47.462079044206803</v>
      </c>
      <c r="AM38" s="25">
        <v>0</v>
      </c>
      <c r="AN38" s="25">
        <v>9725.7953568357698</v>
      </c>
      <c r="AO38" s="25">
        <v>8359.3293207222705</v>
      </c>
      <c r="AP38" s="25">
        <v>1294.078807394669</v>
      </c>
      <c r="AQ38" s="25">
        <v>172.53000000000003</v>
      </c>
      <c r="AR38" s="25">
        <v>2568.2855818610378</v>
      </c>
      <c r="AS38" s="25">
        <v>22167.48114585795</v>
      </c>
      <c r="AT38" s="27">
        <v>2001</v>
      </c>
      <c r="AU38" s="25">
        <v>2703.6050014652265</v>
      </c>
      <c r="AV38" s="25">
        <v>766.27973631412999</v>
      </c>
      <c r="AW38" s="25">
        <v>538.56355689309248</v>
      </c>
      <c r="AX38" s="25">
        <v>154.25623387790196</v>
      </c>
      <c r="AY38" s="25">
        <v>0</v>
      </c>
      <c r="AZ38" s="25">
        <v>57814.273430782458</v>
      </c>
      <c r="BA38" s="25">
        <v>28608.942390369732</v>
      </c>
      <c r="BB38" s="25">
        <v>2327.1834229578676</v>
      </c>
      <c r="BC38" s="25">
        <v>656.04</v>
      </c>
      <c r="BD38" s="25">
        <v>67084.445948231645</v>
      </c>
      <c r="BE38" s="25">
        <v>160925.73073550942</v>
      </c>
      <c r="BF38" s="27">
        <v>2001</v>
      </c>
      <c r="BG38" s="28">
        <v>29024.964141364351</v>
      </c>
      <c r="BH38" s="26" t="s">
        <v>45</v>
      </c>
      <c r="BI38" s="28">
        <v>12071.59628627213</v>
      </c>
      <c r="BJ38" s="26" t="s">
        <v>45</v>
      </c>
      <c r="BK38" s="28">
        <f t="shared" si="0"/>
        <v>694260.2013404395</v>
      </c>
      <c r="BL38" s="24">
        <v>2001</v>
      </c>
      <c r="BM38" s="28">
        <v>694260.2013404395</v>
      </c>
    </row>
    <row r="39" spans="1:65" ht="12.5">
      <c r="A39" s="24">
        <v>2002</v>
      </c>
      <c r="B39" s="25">
        <v>1185.6830485784485</v>
      </c>
      <c r="C39" s="25">
        <v>610.41470062061512</v>
      </c>
      <c r="D39" s="25">
        <v>169.9778064871698</v>
      </c>
      <c r="E39" s="25">
        <v>78.182356285427431</v>
      </c>
      <c r="F39" s="25">
        <v>0</v>
      </c>
      <c r="G39" s="25">
        <v>14201.691417826751</v>
      </c>
      <c r="H39" s="25">
        <v>9472.7208284391436</v>
      </c>
      <c r="I39" s="25">
        <v>1320.6416165090284</v>
      </c>
      <c r="J39" s="25">
        <v>250.03</v>
      </c>
      <c r="K39" s="25">
        <v>6248.2606866719052</v>
      </c>
      <c r="L39" s="25">
        <v>33763.892336337347</v>
      </c>
      <c r="M39" s="27">
        <v>2002</v>
      </c>
      <c r="N39" s="26" t="s">
        <v>45</v>
      </c>
      <c r="O39" s="25">
        <v>0</v>
      </c>
      <c r="P39" s="25">
        <v>726.93742107954813</v>
      </c>
      <c r="Q39" s="25">
        <v>661.6168549795301</v>
      </c>
      <c r="R39" s="26" t="s">
        <v>45</v>
      </c>
      <c r="S39" s="25">
        <v>41936.080608409269</v>
      </c>
      <c r="T39" s="26" t="s">
        <v>45</v>
      </c>
      <c r="U39" s="26" t="s">
        <v>45</v>
      </c>
      <c r="V39" s="25">
        <v>0</v>
      </c>
      <c r="W39" s="25">
        <v>702.45953225731046</v>
      </c>
      <c r="X39" s="25">
        <v>11657.751483667444</v>
      </c>
      <c r="Y39" s="26" t="s">
        <v>45</v>
      </c>
      <c r="Z39" s="25">
        <v>55684.845900393098</v>
      </c>
      <c r="AA39" s="27">
        <v>2002</v>
      </c>
      <c r="AB39" s="25">
        <v>1009.0795121455683</v>
      </c>
      <c r="AC39" s="25">
        <v>126.73296761109776</v>
      </c>
      <c r="AD39" s="25">
        <v>289.26107608699192</v>
      </c>
      <c r="AE39" s="25">
        <v>32362.161876887574</v>
      </c>
      <c r="AF39" s="25">
        <v>10319.3815133276</v>
      </c>
      <c r="AG39" s="25">
        <v>33.190025795356831</v>
      </c>
      <c r="AH39" s="25">
        <v>243.34900000000002</v>
      </c>
      <c r="AI39" s="25">
        <v>3087.4552215727704</v>
      </c>
      <c r="AJ39" s="25">
        <v>47470.611193426965</v>
      </c>
      <c r="AK39" s="27">
        <v>2002</v>
      </c>
      <c r="AL39" s="25">
        <v>14.474856226793918</v>
      </c>
      <c r="AM39" s="25">
        <v>0</v>
      </c>
      <c r="AN39" s="25">
        <v>8670.1263289244343</v>
      </c>
      <c r="AO39" s="25">
        <v>8148.308290031302</v>
      </c>
      <c r="AP39" s="25">
        <v>730.05692175408421</v>
      </c>
      <c r="AQ39" s="25">
        <v>188.27</v>
      </c>
      <c r="AR39" s="25">
        <v>1805.0881183871893</v>
      </c>
      <c r="AS39" s="25">
        <v>19556.324515323806</v>
      </c>
      <c r="AT39" s="27">
        <v>2002</v>
      </c>
      <c r="AU39" s="25">
        <v>2209.2374169508112</v>
      </c>
      <c r="AV39" s="25">
        <v>737.14766823171294</v>
      </c>
      <c r="AW39" s="25">
        <v>459.23888257416172</v>
      </c>
      <c r="AX39" s="25">
        <v>78.182356285427431</v>
      </c>
      <c r="AY39" s="25">
        <v>0</v>
      </c>
      <c r="AZ39" s="25">
        <v>55233.979623638763</v>
      </c>
      <c r="BA39" s="25">
        <v>28667.348052877594</v>
      </c>
      <c r="BB39" s="25">
        <v>2083.8885640584695</v>
      </c>
      <c r="BC39" s="25">
        <v>681.649</v>
      </c>
      <c r="BD39" s="25">
        <v>66098.712505945412</v>
      </c>
      <c r="BE39" s="25">
        <v>156475.67394548122</v>
      </c>
      <c r="BF39" s="27">
        <v>2002</v>
      </c>
      <c r="BG39" s="28">
        <v>29640.40757374249</v>
      </c>
      <c r="BH39" s="26" t="s">
        <v>45</v>
      </c>
      <c r="BI39" s="28">
        <v>12295.673034666775</v>
      </c>
      <c r="BJ39" s="26" t="s">
        <v>45</v>
      </c>
      <c r="BK39" s="28">
        <f t="shared" ref="BK39:BK59" si="1">SUM(B39:BJ39)</f>
        <v>677396.19664049649</v>
      </c>
      <c r="BL39" s="24">
        <v>2002</v>
      </c>
      <c r="BM39" s="28">
        <v>677396.19664049649</v>
      </c>
    </row>
    <row r="40" spans="1:65" ht="12.5">
      <c r="A40" s="24">
        <v>2003</v>
      </c>
      <c r="B40" s="25">
        <v>1247.9660292310678</v>
      </c>
      <c r="C40" s="25">
        <v>588.60115832873737</v>
      </c>
      <c r="D40" s="25">
        <v>165.57056122429356</v>
      </c>
      <c r="E40" s="25">
        <v>53.189439497637615</v>
      </c>
      <c r="F40" s="25">
        <v>0</v>
      </c>
      <c r="G40" s="25">
        <v>14292.024855908719</v>
      </c>
      <c r="H40" s="25">
        <v>9396.2491433873474</v>
      </c>
      <c r="I40" s="25">
        <v>1128.3124710266552</v>
      </c>
      <c r="J40" s="25">
        <v>266.69</v>
      </c>
      <c r="K40" s="25">
        <v>6899.2176642987406</v>
      </c>
      <c r="L40" s="25">
        <v>34074.19348748801</v>
      </c>
      <c r="M40" s="27">
        <v>2003</v>
      </c>
      <c r="N40" s="26" t="s">
        <v>45</v>
      </c>
      <c r="O40" s="25">
        <v>0</v>
      </c>
      <c r="P40" s="25">
        <v>706.1405644624125</v>
      </c>
      <c r="Q40" s="25">
        <v>666.90825068050117</v>
      </c>
      <c r="R40" s="26" t="s">
        <v>45</v>
      </c>
      <c r="S40" s="25">
        <v>41822.642350399277</v>
      </c>
      <c r="T40" s="26" t="s">
        <v>45</v>
      </c>
      <c r="U40" s="26" t="s">
        <v>45</v>
      </c>
      <c r="V40" s="25">
        <v>0</v>
      </c>
      <c r="W40" s="25">
        <v>1234.3120493422707</v>
      </c>
      <c r="X40" s="25">
        <v>11935.784293723171</v>
      </c>
      <c r="Y40" s="26" t="s">
        <v>45</v>
      </c>
      <c r="Z40" s="25">
        <v>56365.787508607631</v>
      </c>
      <c r="AA40" s="27">
        <v>2003</v>
      </c>
      <c r="AB40" s="25">
        <v>812.73438969953281</v>
      </c>
      <c r="AC40" s="25">
        <v>91.536998041717396</v>
      </c>
      <c r="AD40" s="25">
        <v>254.67714312089063</v>
      </c>
      <c r="AE40" s="25">
        <v>33231.838631292419</v>
      </c>
      <c r="AF40" s="25">
        <v>10576.161332760103</v>
      </c>
      <c r="AG40" s="25">
        <v>10.834049871023215</v>
      </c>
      <c r="AH40" s="25">
        <v>247.06</v>
      </c>
      <c r="AI40" s="25">
        <v>3068.1835672143725</v>
      </c>
      <c r="AJ40" s="25">
        <v>48293.026112000058</v>
      </c>
      <c r="AK40" s="27">
        <v>2003</v>
      </c>
      <c r="AL40" s="25">
        <v>17.346023927125884</v>
      </c>
      <c r="AM40" s="25">
        <v>0</v>
      </c>
      <c r="AN40" s="25">
        <v>9177.4818375428586</v>
      </c>
      <c r="AO40" s="25">
        <v>8231.0327487550876</v>
      </c>
      <c r="AP40" s="25">
        <v>647.73727171109203</v>
      </c>
      <c r="AQ40" s="25">
        <v>195.60999999999996</v>
      </c>
      <c r="AR40" s="25">
        <v>1144.512716071772</v>
      </c>
      <c r="AS40" s="25">
        <v>19413.720598007934</v>
      </c>
      <c r="AT40" s="27">
        <v>2003</v>
      </c>
      <c r="AU40" s="25">
        <v>2078.0464428577266</v>
      </c>
      <c r="AV40" s="25">
        <v>680.13815637045479</v>
      </c>
      <c r="AW40" s="25">
        <v>420.24770434518416</v>
      </c>
      <c r="AX40" s="25">
        <v>53.189439497637615</v>
      </c>
      <c r="AY40" s="25">
        <v>0</v>
      </c>
      <c r="AZ40" s="25">
        <v>56701.345324743997</v>
      </c>
      <c r="BA40" s="25">
        <v>28909.583789364951</v>
      </c>
      <c r="BB40" s="25">
        <v>1786.8837926087704</v>
      </c>
      <c r="BC40" s="25">
        <v>709.3599999999999</v>
      </c>
      <c r="BD40" s="25">
        <v>66771.5608917301</v>
      </c>
      <c r="BE40" s="25">
        <v>158146.72770610361</v>
      </c>
      <c r="BF40" s="27">
        <v>2003</v>
      </c>
      <c r="BG40" s="28">
        <v>29307.618080665427</v>
      </c>
      <c r="BH40" s="26" t="s">
        <v>45</v>
      </c>
      <c r="BI40" s="28">
        <v>12515.024269733849</v>
      </c>
      <c r="BJ40" s="26" t="s">
        <v>45</v>
      </c>
      <c r="BK40" s="28">
        <f t="shared" si="1"/>
        <v>684351.80884564423</v>
      </c>
      <c r="BL40" s="24">
        <v>2003</v>
      </c>
      <c r="BM40" s="28">
        <v>684351.80884564423</v>
      </c>
    </row>
    <row r="41" spans="1:65" ht="12.5">
      <c r="A41" s="24">
        <v>2004</v>
      </c>
      <c r="B41" s="25">
        <v>1235.2520132036439</v>
      </c>
      <c r="C41" s="25">
        <v>559.20629439932907</v>
      </c>
      <c r="D41" s="25">
        <v>157.39210071900084</v>
      </c>
      <c r="E41" s="25">
        <v>90.27189421926056</v>
      </c>
      <c r="F41" s="25">
        <v>0</v>
      </c>
      <c r="G41" s="25">
        <v>13237.600393465918</v>
      </c>
      <c r="H41" s="25">
        <v>9584.4690528171741</v>
      </c>
      <c r="I41" s="25">
        <v>832.34041616509023</v>
      </c>
      <c r="J41" s="25">
        <v>265.24</v>
      </c>
      <c r="K41" s="25">
        <v>6918.4197487788297</v>
      </c>
      <c r="L41" s="25">
        <v>32912.437611279856</v>
      </c>
      <c r="M41" s="27">
        <v>2004</v>
      </c>
      <c r="N41" s="26" t="s">
        <v>45</v>
      </c>
      <c r="O41" s="25">
        <v>0</v>
      </c>
      <c r="P41" s="25">
        <v>347.27518906870904</v>
      </c>
      <c r="Q41" s="25">
        <v>699.9363356079009</v>
      </c>
      <c r="R41" s="25">
        <v>1.6167956434508455</v>
      </c>
      <c r="S41" s="25">
        <v>42220.851529002073</v>
      </c>
      <c r="T41" s="26" t="s">
        <v>45</v>
      </c>
      <c r="U41" s="26" t="s">
        <v>45</v>
      </c>
      <c r="V41" s="25">
        <v>0</v>
      </c>
      <c r="W41" s="25">
        <v>1195.9810932255584</v>
      </c>
      <c r="X41" s="25">
        <v>12908.480266541383</v>
      </c>
      <c r="Y41" s="26" t="s">
        <v>45</v>
      </c>
      <c r="Z41" s="25">
        <v>57374.141209089074</v>
      </c>
      <c r="AA41" s="27">
        <v>2004</v>
      </c>
      <c r="AB41" s="25">
        <v>732.88776659346036</v>
      </c>
      <c r="AC41" s="25">
        <v>36.144880764629967</v>
      </c>
      <c r="AD41" s="25">
        <v>230.36075700624193</v>
      </c>
      <c r="AE41" s="25">
        <v>34085.185408355013</v>
      </c>
      <c r="AF41" s="25">
        <v>10679.318075124678</v>
      </c>
      <c r="AG41" s="25">
        <v>51.934651762682712</v>
      </c>
      <c r="AH41" s="25">
        <v>251.65</v>
      </c>
      <c r="AI41" s="25">
        <v>3265.3271867418698</v>
      </c>
      <c r="AJ41" s="25">
        <v>49332.80872634858</v>
      </c>
      <c r="AK41" s="27">
        <v>2004</v>
      </c>
      <c r="AL41" s="25">
        <v>19.401737493269593</v>
      </c>
      <c r="AM41" s="25">
        <v>0</v>
      </c>
      <c r="AN41" s="25">
        <v>9757.0868479995479</v>
      </c>
      <c r="AO41" s="25">
        <v>8531.5689298654706</v>
      </c>
      <c r="AP41" s="25">
        <v>373.31008168529667</v>
      </c>
      <c r="AQ41" s="25">
        <v>197.68000000000004</v>
      </c>
      <c r="AR41" s="25">
        <v>1437.7909332977506</v>
      </c>
      <c r="AS41" s="25">
        <v>20316.838530341338</v>
      </c>
      <c r="AT41" s="27">
        <v>2004</v>
      </c>
      <c r="AU41" s="25">
        <v>1987.5415172903738</v>
      </c>
      <c r="AV41" s="25">
        <v>595.35117516395906</v>
      </c>
      <c r="AW41" s="25">
        <v>387.75285772524273</v>
      </c>
      <c r="AX41" s="25">
        <v>90.27189421926056</v>
      </c>
      <c r="AY41" s="25">
        <v>0</v>
      </c>
      <c r="AZ41" s="25">
        <v>57079.872649820478</v>
      </c>
      <c r="BA41" s="25">
        <v>29144.248042519481</v>
      </c>
      <c r="BB41" s="25">
        <v>1257.5851496130697</v>
      </c>
      <c r="BC41" s="25">
        <v>714.57</v>
      </c>
      <c r="BD41" s="25">
        <v>68646.787093195366</v>
      </c>
      <c r="BE41" s="25">
        <v>159936.22607705885</v>
      </c>
      <c r="BF41" s="27">
        <v>2004</v>
      </c>
      <c r="BG41" s="28">
        <v>29426.725759486941</v>
      </c>
      <c r="BH41" s="26" t="s">
        <v>45</v>
      </c>
      <c r="BI41" s="28">
        <v>12794.125769515133</v>
      </c>
      <c r="BJ41" s="26" t="s">
        <v>45</v>
      </c>
      <c r="BK41" s="28">
        <f t="shared" si="1"/>
        <v>691921.26444221428</v>
      </c>
      <c r="BL41" s="24">
        <v>2004</v>
      </c>
      <c r="BM41" s="28">
        <v>691921.26444221428</v>
      </c>
    </row>
    <row r="42" spans="1:65" ht="12.5">
      <c r="A42" s="24">
        <v>2005</v>
      </c>
      <c r="B42" s="25">
        <v>1179.924430602071</v>
      </c>
      <c r="C42" s="25">
        <v>534.73643589228084</v>
      </c>
      <c r="D42" s="25">
        <v>150.42873299773316</v>
      </c>
      <c r="E42" s="25">
        <v>98.782346242903657</v>
      </c>
      <c r="F42" s="25">
        <v>0</v>
      </c>
      <c r="G42" s="25">
        <v>13021.582487031814</v>
      </c>
      <c r="H42" s="25">
        <v>9976.2745144353139</v>
      </c>
      <c r="I42" s="25">
        <v>830.50753787745134</v>
      </c>
      <c r="J42" s="25">
        <v>200.76085640426902</v>
      </c>
      <c r="K42" s="25">
        <v>6282.1847243872035</v>
      </c>
      <c r="L42" s="25">
        <v>32303.189892445414</v>
      </c>
      <c r="M42" s="27">
        <v>2005</v>
      </c>
      <c r="N42" s="25">
        <v>2.9164341061883712</v>
      </c>
      <c r="O42" s="25">
        <v>0</v>
      </c>
      <c r="P42" s="25">
        <v>347.39853777503276</v>
      </c>
      <c r="Q42" s="25">
        <v>633.78887902364977</v>
      </c>
      <c r="R42" s="25">
        <v>1.6468902264259102</v>
      </c>
      <c r="S42" s="25">
        <v>42506.75881608497</v>
      </c>
      <c r="T42" s="25">
        <v>74.051215618694485</v>
      </c>
      <c r="U42" s="26" t="s">
        <v>45</v>
      </c>
      <c r="V42" s="25">
        <v>0</v>
      </c>
      <c r="W42" s="25">
        <v>1370.3128880699489</v>
      </c>
      <c r="X42" s="25">
        <v>13856.29347654933</v>
      </c>
      <c r="Y42" s="26" t="s">
        <v>45</v>
      </c>
      <c r="Z42" s="25">
        <v>58793.167137454249</v>
      </c>
      <c r="AA42" s="27">
        <v>2005</v>
      </c>
      <c r="AB42" s="25">
        <v>473.78242069329252</v>
      </c>
      <c r="AC42" s="25">
        <v>24.483345324877696</v>
      </c>
      <c r="AD42" s="25">
        <v>198.9816315390035</v>
      </c>
      <c r="AE42" s="25">
        <v>32835.681148755371</v>
      </c>
      <c r="AF42" s="25">
        <v>10809.212209802234</v>
      </c>
      <c r="AG42" s="25">
        <v>51.934651762682712</v>
      </c>
      <c r="AH42" s="25">
        <v>317.80096206411804</v>
      </c>
      <c r="AI42" s="25">
        <v>3093.5455413799227</v>
      </c>
      <c r="AJ42" s="25">
        <v>47805.4219113215</v>
      </c>
      <c r="AK42" s="27">
        <v>2005</v>
      </c>
      <c r="AL42" s="25">
        <v>38.095509913882552</v>
      </c>
      <c r="AM42" s="25">
        <v>0</v>
      </c>
      <c r="AN42" s="25">
        <v>9526.3268911176492</v>
      </c>
      <c r="AO42" s="25">
        <v>8846.092462007502</v>
      </c>
      <c r="AP42" s="25">
        <v>385.53377730008589</v>
      </c>
      <c r="AQ42" s="25">
        <v>204.89309555492798</v>
      </c>
      <c r="AR42" s="25">
        <v>1773.4799151017687</v>
      </c>
      <c r="AS42" s="25">
        <v>20774.421650995817</v>
      </c>
      <c r="AT42" s="27">
        <v>2005</v>
      </c>
      <c r="AU42" s="25">
        <v>1694.7187953154344</v>
      </c>
      <c r="AV42" s="25">
        <v>559.21978121715858</v>
      </c>
      <c r="AW42" s="25">
        <v>349.41036453673667</v>
      </c>
      <c r="AX42" s="25">
        <v>98.782346242903657</v>
      </c>
      <c r="AY42" s="25">
        <v>0</v>
      </c>
      <c r="AZ42" s="25">
        <v>55383.590526904831</v>
      </c>
      <c r="BA42" s="25">
        <v>29980.62461424651</v>
      </c>
      <c r="BB42" s="25">
        <v>1267.9759669402199</v>
      </c>
      <c r="BC42" s="25">
        <v>797.50612964200957</v>
      </c>
      <c r="BD42" s="25">
        <v>69516.364240596784</v>
      </c>
      <c r="BE42" s="25">
        <v>159676.20059221698</v>
      </c>
      <c r="BF42" s="27">
        <v>2005</v>
      </c>
      <c r="BG42" s="28">
        <v>29516.001386969579</v>
      </c>
      <c r="BH42" s="28">
        <v>51.419958702687097</v>
      </c>
      <c r="BI42" s="28">
        <v>12990.757429115392</v>
      </c>
      <c r="BJ42" s="28">
        <v>22.631256916007391</v>
      </c>
      <c r="BK42" s="28">
        <f t="shared" si="1"/>
        <v>691254.59674742271</v>
      </c>
      <c r="BL42" s="24">
        <v>2005</v>
      </c>
      <c r="BM42" s="28">
        <v>691254.59674742271</v>
      </c>
    </row>
    <row r="43" spans="1:65" ht="12.5">
      <c r="A43" s="24">
        <v>2006</v>
      </c>
      <c r="B43" s="25">
        <v>1163.6484360418719</v>
      </c>
      <c r="C43" s="25">
        <v>487.61874462715599</v>
      </c>
      <c r="D43" s="25">
        <v>161.08061817243794</v>
      </c>
      <c r="E43" s="25">
        <v>122.9469389907359</v>
      </c>
      <c r="F43" s="25">
        <v>0</v>
      </c>
      <c r="G43" s="25">
        <v>12428.286430306776</v>
      </c>
      <c r="H43" s="25">
        <v>9879.3033502618928</v>
      </c>
      <c r="I43" s="25">
        <v>808.93292777300076</v>
      </c>
      <c r="J43" s="25">
        <v>213.48946654426669</v>
      </c>
      <c r="K43" s="25">
        <v>6099.3517627279189</v>
      </c>
      <c r="L43" s="25">
        <v>31442.201843310198</v>
      </c>
      <c r="M43" s="27">
        <v>2006</v>
      </c>
      <c r="N43" s="25">
        <v>13.707240299085345</v>
      </c>
      <c r="O43" s="25">
        <v>0</v>
      </c>
      <c r="P43" s="25">
        <v>342.47504655357915</v>
      </c>
      <c r="Q43" s="25">
        <v>631.88356881114021</v>
      </c>
      <c r="R43" s="25">
        <v>1.6139294926913157</v>
      </c>
      <c r="S43" s="25">
        <v>42512.640559712221</v>
      </c>
      <c r="T43" s="25">
        <v>187.79203607410454</v>
      </c>
      <c r="U43" s="26" t="s">
        <v>45</v>
      </c>
      <c r="V43" s="25">
        <v>0</v>
      </c>
      <c r="W43" s="25">
        <v>1812.2867055712352</v>
      </c>
      <c r="X43" s="25">
        <v>13999.047372228359</v>
      </c>
      <c r="Y43" s="26" t="s">
        <v>45</v>
      </c>
      <c r="Z43" s="25">
        <v>59501.446458742415</v>
      </c>
      <c r="AA43" s="27">
        <v>2006</v>
      </c>
      <c r="AB43" s="25">
        <v>426.03157813197453</v>
      </c>
      <c r="AC43" s="25">
        <v>15.896465078352609</v>
      </c>
      <c r="AD43" s="25">
        <v>199.86348197370305</v>
      </c>
      <c r="AE43" s="25">
        <v>31550.130632644225</v>
      </c>
      <c r="AF43" s="25">
        <v>10722.606978180804</v>
      </c>
      <c r="AG43" s="25">
        <v>51.934651762682712</v>
      </c>
      <c r="AH43" s="25">
        <v>357.90954169533995</v>
      </c>
      <c r="AI43" s="25">
        <v>3250.7735213187925</v>
      </c>
      <c r="AJ43" s="25">
        <v>46575.146850785881</v>
      </c>
      <c r="AK43" s="27">
        <v>2006</v>
      </c>
      <c r="AL43" s="25">
        <v>23.891277612025192</v>
      </c>
      <c r="AM43" s="25">
        <v>0</v>
      </c>
      <c r="AN43" s="25">
        <v>8654.6472234467474</v>
      </c>
      <c r="AO43" s="25">
        <v>8738.3724777961143</v>
      </c>
      <c r="AP43" s="25">
        <v>383.89735597592437</v>
      </c>
      <c r="AQ43" s="25">
        <v>192.42807477786357</v>
      </c>
      <c r="AR43" s="25">
        <v>1529.6486932978787</v>
      </c>
      <c r="AS43" s="25">
        <v>19522.885102906555</v>
      </c>
      <c r="AT43" s="27">
        <v>2006</v>
      </c>
      <c r="AU43" s="25">
        <v>1627.2785320849571</v>
      </c>
      <c r="AV43" s="25">
        <v>503.5152097055086</v>
      </c>
      <c r="AW43" s="25">
        <v>360.94410014614095</v>
      </c>
      <c r="AX43" s="25">
        <v>122.9469389907359</v>
      </c>
      <c r="AY43" s="25">
        <v>0</v>
      </c>
      <c r="AZ43" s="25">
        <v>52633.064286397755</v>
      </c>
      <c r="BA43" s="25">
        <v>29684.371782285081</v>
      </c>
      <c r="BB43" s="25">
        <v>1244.7649355116077</v>
      </c>
      <c r="BC43" s="25">
        <v>951.61911909157482</v>
      </c>
      <c r="BD43" s="25">
        <v>69835.632183667534</v>
      </c>
      <c r="BE43" s="25">
        <v>157041.68025574504</v>
      </c>
      <c r="BF43" s="27">
        <v>2006</v>
      </c>
      <c r="BG43" s="28">
        <v>29419.846483719437</v>
      </c>
      <c r="BH43" s="28">
        <v>129.95694455641353</v>
      </c>
      <c r="BI43" s="28">
        <v>13092.794075992781</v>
      </c>
      <c r="BJ43" s="28">
        <v>57.835091517690998</v>
      </c>
      <c r="BK43" s="28">
        <f t="shared" si="1"/>
        <v>680742.06728303828</v>
      </c>
      <c r="BL43" s="24">
        <v>2006</v>
      </c>
      <c r="BM43" s="28">
        <v>680742.06728303828</v>
      </c>
    </row>
    <row r="44" spans="1:65" ht="12.5">
      <c r="A44" s="24">
        <v>2007</v>
      </c>
      <c r="B44" s="25">
        <v>1268.4052921213993</v>
      </c>
      <c r="C44" s="25">
        <v>513.05061144173726</v>
      </c>
      <c r="D44" s="25">
        <v>158.00843446259671</v>
      </c>
      <c r="E44" s="25">
        <v>120.299685117157</v>
      </c>
      <c r="F44" s="25">
        <v>0</v>
      </c>
      <c r="G44" s="25">
        <v>11466.075649125158</v>
      </c>
      <c r="H44" s="25">
        <v>9699.0105405461327</v>
      </c>
      <c r="I44" s="25">
        <v>895.84403783318987</v>
      </c>
      <c r="J44" s="25">
        <v>276.33064723402265</v>
      </c>
      <c r="K44" s="25">
        <v>6095.3471147107966</v>
      </c>
      <c r="L44" s="25">
        <v>30540.28267870397</v>
      </c>
      <c r="M44" s="27">
        <v>2007</v>
      </c>
      <c r="N44" s="25">
        <v>13.707240299085345</v>
      </c>
      <c r="O44" s="25">
        <v>0</v>
      </c>
      <c r="P44" s="25">
        <v>339.04935600162639</v>
      </c>
      <c r="Q44" s="25">
        <v>646.35966658753659</v>
      </c>
      <c r="R44" s="25">
        <v>1.5835482946402981</v>
      </c>
      <c r="S44" s="25">
        <v>42884.399591435002</v>
      </c>
      <c r="T44" s="25">
        <v>361.69050647440218</v>
      </c>
      <c r="U44" s="26" t="s">
        <v>45</v>
      </c>
      <c r="V44" s="25">
        <v>0</v>
      </c>
      <c r="W44" s="25">
        <v>1618.174755405485</v>
      </c>
      <c r="X44" s="25">
        <v>13905.964685498055</v>
      </c>
      <c r="Y44" s="26" t="s">
        <v>45</v>
      </c>
      <c r="Z44" s="25">
        <v>59770.929349995822</v>
      </c>
      <c r="AA44" s="27">
        <v>2007</v>
      </c>
      <c r="AB44" s="25">
        <v>487.09548419463022</v>
      </c>
      <c r="AC44" s="25">
        <v>10.585306204197554</v>
      </c>
      <c r="AD44" s="25">
        <v>182.44185937649277</v>
      </c>
      <c r="AE44" s="25">
        <v>30341.178864337828</v>
      </c>
      <c r="AF44" s="25">
        <v>10582.633366813881</v>
      </c>
      <c r="AG44" s="25">
        <v>51.934651762682712</v>
      </c>
      <c r="AH44" s="25">
        <v>399.72912132656188</v>
      </c>
      <c r="AI44" s="25">
        <v>2876.8254619473687</v>
      </c>
      <c r="AJ44" s="25">
        <v>44932.424115963644</v>
      </c>
      <c r="AK44" s="27">
        <v>2007</v>
      </c>
      <c r="AL44" s="25">
        <v>18.552191091532563</v>
      </c>
      <c r="AM44" s="25">
        <v>0</v>
      </c>
      <c r="AN44" s="25">
        <v>8153.6798193938048</v>
      </c>
      <c r="AO44" s="25">
        <v>8754.8828137297951</v>
      </c>
      <c r="AP44" s="25">
        <v>390.20266552020632</v>
      </c>
      <c r="AQ44" s="25">
        <v>197.66223108436361</v>
      </c>
      <c r="AR44" s="25">
        <v>1500.8061320957618</v>
      </c>
      <c r="AS44" s="25">
        <v>19015.785852915462</v>
      </c>
      <c r="AT44" s="27">
        <v>2007</v>
      </c>
      <c r="AU44" s="25">
        <v>1787.7602077066472</v>
      </c>
      <c r="AV44" s="25">
        <v>523.6359176459348</v>
      </c>
      <c r="AW44" s="25">
        <v>340.45029383908945</v>
      </c>
      <c r="AX44" s="25">
        <v>120.299685117157</v>
      </c>
      <c r="AY44" s="25">
        <v>0</v>
      </c>
      <c r="AZ44" s="25">
        <v>49960.934332856792</v>
      </c>
      <c r="BA44" s="25">
        <v>29377.159625386077</v>
      </c>
      <c r="BB44" s="25">
        <v>1337.9813551160789</v>
      </c>
      <c r="BC44" s="25">
        <v>1235.4125061193504</v>
      </c>
      <c r="BD44" s="25">
        <v>69527.877407680004</v>
      </c>
      <c r="BE44" s="25">
        <v>154259.4219975789</v>
      </c>
      <c r="BF44" s="27">
        <v>2007</v>
      </c>
      <c r="BG44" s="28">
        <v>29521.198725300066</v>
      </c>
      <c r="BH44" s="28">
        <v>248.98418586738956</v>
      </c>
      <c r="BI44" s="28">
        <v>13363.200866134934</v>
      </c>
      <c r="BJ44" s="28">
        <v>112.70632060701261</v>
      </c>
      <c r="BK44" s="28">
        <f t="shared" si="1"/>
        <v>670222.95675600134</v>
      </c>
      <c r="BL44" s="24">
        <v>2007</v>
      </c>
      <c r="BM44" s="28">
        <v>670222.95675600134</v>
      </c>
    </row>
    <row r="45" spans="1:65" ht="12.5">
      <c r="A45" s="24">
        <v>2008</v>
      </c>
      <c r="B45" s="25">
        <v>1296.1614753611334</v>
      </c>
      <c r="C45" s="25">
        <v>442.77044205891667</v>
      </c>
      <c r="D45" s="25">
        <v>156.12992781570955</v>
      </c>
      <c r="E45" s="25">
        <v>109.89766626425057</v>
      </c>
      <c r="F45" s="25">
        <v>0</v>
      </c>
      <c r="G45" s="25">
        <v>11029.70743779055</v>
      </c>
      <c r="H45" s="25">
        <v>9815.2112752107187</v>
      </c>
      <c r="I45" s="25">
        <v>1020.7031470335338</v>
      </c>
      <c r="J45" s="25">
        <v>414.24453862492618</v>
      </c>
      <c r="K45" s="25">
        <v>5895.148580583098</v>
      </c>
      <c r="L45" s="25">
        <v>30219.599863619296</v>
      </c>
      <c r="M45" s="27">
        <v>2008</v>
      </c>
      <c r="N45" s="25">
        <v>13.508924216531584</v>
      </c>
      <c r="O45" s="25">
        <v>0</v>
      </c>
      <c r="P45" s="25">
        <v>338.39222685054204</v>
      </c>
      <c r="Q45" s="25">
        <v>657.63881542775198</v>
      </c>
      <c r="R45" s="25">
        <v>1.5666380051590716</v>
      </c>
      <c r="S45" s="25">
        <v>41097.674345032428</v>
      </c>
      <c r="T45" s="25">
        <v>844.50717934176851</v>
      </c>
      <c r="U45" s="26" t="s">
        <v>45</v>
      </c>
      <c r="V45" s="25">
        <v>0</v>
      </c>
      <c r="W45" s="25">
        <v>1013.9336826750556</v>
      </c>
      <c r="X45" s="25">
        <v>13426.090093550307</v>
      </c>
      <c r="Y45" s="26" t="s">
        <v>45</v>
      </c>
      <c r="Z45" s="25">
        <v>57393.311905099545</v>
      </c>
      <c r="AA45" s="27">
        <v>2008</v>
      </c>
      <c r="AB45" s="25">
        <v>514.72227816375698</v>
      </c>
      <c r="AC45" s="25">
        <v>8.7949602365321216</v>
      </c>
      <c r="AD45" s="25">
        <v>229.16391049437686</v>
      </c>
      <c r="AE45" s="25">
        <v>30916.063435096061</v>
      </c>
      <c r="AF45" s="25">
        <v>10300.945829750643</v>
      </c>
      <c r="AG45" s="25">
        <v>51.934651762682712</v>
      </c>
      <c r="AH45" s="25">
        <v>313.08893935122222</v>
      </c>
      <c r="AI45" s="25">
        <v>3033.4603866455491</v>
      </c>
      <c r="AJ45" s="25">
        <v>45997.925730078983</v>
      </c>
      <c r="AK45" s="27">
        <v>2008</v>
      </c>
      <c r="AL45" s="25">
        <v>20.791580985890505</v>
      </c>
      <c r="AM45" s="25">
        <v>0</v>
      </c>
      <c r="AN45" s="25">
        <v>9556.56977727708</v>
      </c>
      <c r="AO45" s="25">
        <v>8935.2951308749507</v>
      </c>
      <c r="AP45" s="25">
        <v>392.82619948409285</v>
      </c>
      <c r="AQ45" s="25">
        <v>228.80737812631514</v>
      </c>
      <c r="AR45" s="25">
        <v>1411.1033710794227</v>
      </c>
      <c r="AS45" s="25">
        <v>20545.393437827752</v>
      </c>
      <c r="AT45" s="27">
        <v>2008</v>
      </c>
      <c r="AU45" s="25">
        <v>1845.1842587273125</v>
      </c>
      <c r="AV45" s="25">
        <v>451.56540229544879</v>
      </c>
      <c r="AW45" s="25">
        <v>385.29383831008641</v>
      </c>
      <c r="AX45" s="25">
        <v>109.89766626425057</v>
      </c>
      <c r="AY45" s="25">
        <v>0</v>
      </c>
      <c r="AZ45" s="25">
        <v>51502.340650163693</v>
      </c>
      <c r="BA45" s="25">
        <v>29391.41110069201</v>
      </c>
      <c r="BB45" s="25">
        <v>1465.4639982803092</v>
      </c>
      <c r="BC45" s="25">
        <v>2430.3993740223964</v>
      </c>
      <c r="BD45" s="25">
        <v>66535.049274993624</v>
      </c>
      <c r="BE45" s="25">
        <v>154156.23093662559</v>
      </c>
      <c r="BF45" s="27">
        <v>2008</v>
      </c>
      <c r="BG45" s="28">
        <v>28697.22798688673</v>
      </c>
      <c r="BH45" s="28">
        <v>589.6931018205587</v>
      </c>
      <c r="BI45" s="28">
        <v>12400.446358145702</v>
      </c>
      <c r="BJ45" s="28">
        <v>254.8140775212099</v>
      </c>
      <c r="BK45" s="28">
        <f t="shared" si="1"/>
        <v>667898.10318654554</v>
      </c>
      <c r="BL45" s="24">
        <v>2008</v>
      </c>
      <c r="BM45" s="28">
        <v>667898.10318654554</v>
      </c>
    </row>
    <row r="46" spans="1:65" ht="12.5">
      <c r="A46" s="24">
        <v>2009</v>
      </c>
      <c r="B46" s="25">
        <v>1151.76</v>
      </c>
      <c r="C46" s="25">
        <v>387.27133398845348</v>
      </c>
      <c r="D46" s="25">
        <v>0</v>
      </c>
      <c r="E46" s="25">
        <v>68.252931022923292</v>
      </c>
      <c r="F46" s="25">
        <v>0</v>
      </c>
      <c r="G46" s="25">
        <v>9145.6200000000008</v>
      </c>
      <c r="H46" s="25">
        <v>8575.92</v>
      </c>
      <c r="I46" s="25">
        <v>762.84</v>
      </c>
      <c r="J46" s="25">
        <v>414.77</v>
      </c>
      <c r="K46" s="25">
        <v>2388.0300000000002</v>
      </c>
      <c r="L46" s="25">
        <v>22923.47</v>
      </c>
      <c r="M46" s="27">
        <v>2009</v>
      </c>
      <c r="N46" s="25">
        <v>13.48</v>
      </c>
      <c r="O46" s="25">
        <v>0</v>
      </c>
      <c r="P46" s="25">
        <v>346.77</v>
      </c>
      <c r="Q46" s="25">
        <v>656.16</v>
      </c>
      <c r="R46" s="25">
        <v>1.55</v>
      </c>
      <c r="S46" s="25">
        <v>39716.730000000003</v>
      </c>
      <c r="T46" s="25">
        <v>1038.49</v>
      </c>
      <c r="U46" s="26" t="s">
        <v>45</v>
      </c>
      <c r="V46" s="25">
        <v>0</v>
      </c>
      <c r="W46" s="25">
        <v>1020.61</v>
      </c>
      <c r="X46" s="25">
        <v>13036.33</v>
      </c>
      <c r="Y46" s="26" t="s">
        <v>45</v>
      </c>
      <c r="Z46" s="25">
        <v>55830.12</v>
      </c>
      <c r="AA46" s="27">
        <v>2009</v>
      </c>
      <c r="AB46" s="25">
        <v>514.24</v>
      </c>
      <c r="AC46" s="25">
        <v>7.3311359510843559</v>
      </c>
      <c r="AD46" s="25">
        <v>191.77886404891566</v>
      </c>
      <c r="AE46" s="25">
        <v>29681.8</v>
      </c>
      <c r="AF46" s="25">
        <v>10192.67</v>
      </c>
      <c r="AG46" s="25">
        <v>51.93</v>
      </c>
      <c r="AH46" s="25">
        <v>329.41</v>
      </c>
      <c r="AI46" s="25">
        <v>2897.53</v>
      </c>
      <c r="AJ46" s="25">
        <v>43866.69</v>
      </c>
      <c r="AK46" s="27">
        <v>2009</v>
      </c>
      <c r="AL46" s="25">
        <v>53.09</v>
      </c>
      <c r="AM46" s="25">
        <v>0</v>
      </c>
      <c r="AN46" s="25">
        <v>8000.1900000000005</v>
      </c>
      <c r="AO46" s="25">
        <v>8548.44</v>
      </c>
      <c r="AP46" s="25">
        <v>391.56</v>
      </c>
      <c r="AQ46" s="25">
        <v>968.15000000000009</v>
      </c>
      <c r="AR46" s="25">
        <v>4013.83</v>
      </c>
      <c r="AS46" s="25">
        <v>21975.27</v>
      </c>
      <c r="AT46" s="27">
        <v>2009</v>
      </c>
      <c r="AU46" s="25">
        <v>1732.57</v>
      </c>
      <c r="AV46" s="25">
        <v>394.60246993953785</v>
      </c>
      <c r="AW46" s="25">
        <v>191.77925600595069</v>
      </c>
      <c r="AX46" s="25">
        <v>68.252931022923292</v>
      </c>
      <c r="AY46" s="25">
        <v>0</v>
      </c>
      <c r="AZ46" s="25">
        <v>46827.6</v>
      </c>
      <c r="BA46" s="25">
        <v>27665.35</v>
      </c>
      <c r="BB46" s="25">
        <v>1206.3399999999999</v>
      </c>
      <c r="BC46" s="25">
        <v>2750.83</v>
      </c>
      <c r="BD46" s="25">
        <v>63729.22</v>
      </c>
      <c r="BE46" s="25">
        <v>144595.54999999999</v>
      </c>
      <c r="BF46" s="27">
        <v>2009</v>
      </c>
      <c r="BG46" s="28">
        <v>27975.550329187259</v>
      </c>
      <c r="BH46" s="28">
        <v>731.48844986376457</v>
      </c>
      <c r="BI46" s="28">
        <v>11741.179670812744</v>
      </c>
      <c r="BJ46" s="28">
        <v>307.00155013623538</v>
      </c>
      <c r="BK46" s="28">
        <f t="shared" si="1"/>
        <v>629124.39892197994</v>
      </c>
      <c r="BL46" s="24">
        <v>2009</v>
      </c>
      <c r="BM46" s="28">
        <v>629124.39892197994</v>
      </c>
    </row>
    <row r="47" spans="1:65" ht="26.15" customHeight="1">
      <c r="A47" s="24">
        <v>2010</v>
      </c>
      <c r="B47" s="25">
        <v>1311.22</v>
      </c>
      <c r="C47" s="25">
        <v>338.78946430277466</v>
      </c>
      <c r="D47" s="25">
        <v>0</v>
      </c>
      <c r="E47" s="25">
        <v>113.60946196941845</v>
      </c>
      <c r="F47" s="25">
        <v>0</v>
      </c>
      <c r="G47" s="25">
        <v>9395.43</v>
      </c>
      <c r="H47" s="25">
        <v>8988.61</v>
      </c>
      <c r="I47" s="25">
        <v>822.15</v>
      </c>
      <c r="J47" s="25">
        <v>471.9</v>
      </c>
      <c r="K47" s="25">
        <v>2398.0700000000002</v>
      </c>
      <c r="L47" s="25">
        <v>23926.63</v>
      </c>
      <c r="M47" s="27">
        <v>2010</v>
      </c>
      <c r="N47" s="25">
        <v>13.61</v>
      </c>
      <c r="O47" s="25">
        <v>0</v>
      </c>
      <c r="P47" s="25">
        <v>348.19</v>
      </c>
      <c r="Q47" s="25">
        <v>659.76</v>
      </c>
      <c r="R47" s="25">
        <v>1.55</v>
      </c>
      <c r="S47" s="25">
        <v>39285.72</v>
      </c>
      <c r="T47" s="25">
        <v>1217.57</v>
      </c>
      <c r="U47" s="26" t="s">
        <v>45</v>
      </c>
      <c r="V47" s="25">
        <v>0</v>
      </c>
      <c r="W47" s="25">
        <v>980.2</v>
      </c>
      <c r="X47" s="25">
        <v>12826.39</v>
      </c>
      <c r="Y47" s="26" t="s">
        <v>45</v>
      </c>
      <c r="Z47" s="25">
        <v>55332.99</v>
      </c>
      <c r="AA47" s="27">
        <v>2010</v>
      </c>
      <c r="AB47" s="25">
        <v>536.74</v>
      </c>
      <c r="AC47" s="25">
        <v>7.3311359510843621</v>
      </c>
      <c r="AD47" s="25">
        <v>221.25886404891565</v>
      </c>
      <c r="AE47" s="25">
        <v>33499.18</v>
      </c>
      <c r="AF47" s="25">
        <v>10217.709999999999</v>
      </c>
      <c r="AG47" s="25">
        <v>51.93</v>
      </c>
      <c r="AH47" s="25">
        <v>449.37</v>
      </c>
      <c r="AI47" s="25">
        <v>3355.08</v>
      </c>
      <c r="AJ47" s="25">
        <v>48338.61</v>
      </c>
      <c r="AK47" s="27">
        <v>2010</v>
      </c>
      <c r="AL47" s="25">
        <v>27.599999999999998</v>
      </c>
      <c r="AM47" s="25">
        <v>0</v>
      </c>
      <c r="AN47" s="25">
        <v>8735.840000000002</v>
      </c>
      <c r="AO47" s="25">
        <v>8718.8599999999988</v>
      </c>
      <c r="AP47" s="25">
        <v>392.3</v>
      </c>
      <c r="AQ47" s="25">
        <v>1062.47</v>
      </c>
      <c r="AR47" s="25">
        <v>4289.37</v>
      </c>
      <c r="AS47" s="25">
        <v>23226.440000000002</v>
      </c>
      <c r="AT47" s="27">
        <v>2010</v>
      </c>
      <c r="AU47" s="25">
        <v>1889.16</v>
      </c>
      <c r="AV47" s="25">
        <v>346.12060025385904</v>
      </c>
      <c r="AW47" s="25">
        <v>221.26176647081303</v>
      </c>
      <c r="AX47" s="25">
        <v>113.60946196941845</v>
      </c>
      <c r="AY47" s="25">
        <v>0</v>
      </c>
      <c r="AZ47" s="25">
        <v>51630.439999999995</v>
      </c>
      <c r="BA47" s="25">
        <v>28274.92</v>
      </c>
      <c r="BB47" s="25">
        <v>1266.3800000000001</v>
      </c>
      <c r="BC47" s="25">
        <v>3201.32</v>
      </c>
      <c r="BD47" s="25">
        <v>63794.590000000004</v>
      </c>
      <c r="BE47" s="25">
        <v>150824.67000000001</v>
      </c>
      <c r="BF47" s="27">
        <v>2010</v>
      </c>
      <c r="BG47" s="28">
        <v>27250.91906406423</v>
      </c>
      <c r="BH47" s="28">
        <v>844.57918869331354</v>
      </c>
      <c r="BI47" s="28">
        <v>12034.800935935773</v>
      </c>
      <c r="BJ47" s="28">
        <v>372.99081130668645</v>
      </c>
      <c r="BK47" s="28">
        <f t="shared" si="1"/>
        <v>653678.24075496616</v>
      </c>
      <c r="BL47" s="24">
        <v>2010</v>
      </c>
      <c r="BM47" s="28">
        <v>653678.24075496616</v>
      </c>
    </row>
    <row r="48" spans="1:65" ht="12.5">
      <c r="A48" s="24">
        <v>2011</v>
      </c>
      <c r="B48" s="25">
        <v>1193.6199999999999</v>
      </c>
      <c r="C48" s="25">
        <v>306.27659828849852</v>
      </c>
      <c r="D48" s="25">
        <v>0</v>
      </c>
      <c r="E48" s="25">
        <v>76.629218663453997</v>
      </c>
      <c r="F48" s="25">
        <v>0</v>
      </c>
      <c r="G48" s="25">
        <v>9007.31</v>
      </c>
      <c r="H48" s="25">
        <v>8806.15</v>
      </c>
      <c r="I48" s="25">
        <v>769.35</v>
      </c>
      <c r="J48" s="25">
        <v>530.86</v>
      </c>
      <c r="K48" s="25">
        <v>2275.89</v>
      </c>
      <c r="L48" s="25">
        <v>23030.19</v>
      </c>
      <c r="M48" s="27">
        <v>2011</v>
      </c>
      <c r="N48" s="25">
        <v>11.07</v>
      </c>
      <c r="O48" s="25">
        <v>0</v>
      </c>
      <c r="P48" s="25">
        <v>359.78</v>
      </c>
      <c r="Q48" s="25">
        <v>650.59</v>
      </c>
      <c r="R48" s="25">
        <v>1.82</v>
      </c>
      <c r="S48" s="25">
        <v>38646.01</v>
      </c>
      <c r="T48" s="25">
        <v>1127.52</v>
      </c>
      <c r="U48" s="26" t="s">
        <v>45</v>
      </c>
      <c r="V48" s="25">
        <v>0</v>
      </c>
      <c r="W48" s="25">
        <v>976.79</v>
      </c>
      <c r="X48" s="25">
        <v>12884.21</v>
      </c>
      <c r="Y48" s="26" t="s">
        <v>45</v>
      </c>
      <c r="Z48" s="25">
        <v>54657.8</v>
      </c>
      <c r="AA48" s="27">
        <v>2011</v>
      </c>
      <c r="AB48" s="25">
        <v>530.1</v>
      </c>
      <c r="AC48" s="25">
        <v>6.1923187159644595</v>
      </c>
      <c r="AD48" s="25">
        <v>191.84768128403553</v>
      </c>
      <c r="AE48" s="25">
        <v>26555.52</v>
      </c>
      <c r="AF48" s="25">
        <v>9594.7000000000007</v>
      </c>
      <c r="AG48" s="25">
        <v>51.93</v>
      </c>
      <c r="AH48" s="25">
        <v>419.46</v>
      </c>
      <c r="AI48" s="25">
        <v>2750.77</v>
      </c>
      <c r="AJ48" s="25">
        <v>40100.53</v>
      </c>
      <c r="AK48" s="27">
        <v>2011</v>
      </c>
      <c r="AL48" s="25">
        <v>28.060000000000002</v>
      </c>
      <c r="AM48" s="25">
        <v>0</v>
      </c>
      <c r="AN48" s="25">
        <v>7344.44</v>
      </c>
      <c r="AO48" s="25">
        <v>8569.6899999999987</v>
      </c>
      <c r="AP48" s="25">
        <v>384.77000000000004</v>
      </c>
      <c r="AQ48" s="25">
        <v>1040.6400000000001</v>
      </c>
      <c r="AR48" s="25">
        <v>3946.83</v>
      </c>
      <c r="AS48" s="25">
        <v>21314.430000000004</v>
      </c>
      <c r="AT48" s="27">
        <v>2011</v>
      </c>
      <c r="AU48" s="25">
        <v>1762.84</v>
      </c>
      <c r="AV48" s="25">
        <v>312.46891700446298</v>
      </c>
      <c r="AW48" s="25">
        <v>191.8441841454094</v>
      </c>
      <c r="AX48" s="25">
        <v>76.629218663453997</v>
      </c>
      <c r="AY48" s="25">
        <v>0</v>
      </c>
      <c r="AZ48" s="25">
        <v>42907.27</v>
      </c>
      <c r="BA48" s="25">
        <v>27332.14</v>
      </c>
      <c r="BB48" s="25">
        <v>1206.06</v>
      </c>
      <c r="BC48" s="25">
        <v>3118.48</v>
      </c>
      <c r="BD48" s="25">
        <v>62131.100000000006</v>
      </c>
      <c r="BE48" s="25">
        <v>139102.94999999998</v>
      </c>
      <c r="BF48" s="27">
        <v>2011</v>
      </c>
      <c r="BG48" s="28">
        <v>26801.256670500832</v>
      </c>
      <c r="BH48" s="28">
        <v>781.94237700407098</v>
      </c>
      <c r="BI48" s="28">
        <v>11844.753329499175</v>
      </c>
      <c r="BJ48" s="28">
        <v>345.57762299592918</v>
      </c>
      <c r="BK48" s="28">
        <f t="shared" si="1"/>
        <v>606112.08813676529</v>
      </c>
      <c r="BL48" s="24">
        <v>2011</v>
      </c>
      <c r="BM48" s="28">
        <v>606112.08813676529</v>
      </c>
    </row>
    <row r="49" spans="1:65" ht="12.5">
      <c r="A49" s="24">
        <v>2012</v>
      </c>
      <c r="B49" s="25">
        <v>1212.4000000000001</v>
      </c>
      <c r="C49" s="25">
        <v>375.18478196781723</v>
      </c>
      <c r="D49" s="25">
        <v>0</v>
      </c>
      <c r="E49" s="25">
        <v>60.305211517466262</v>
      </c>
      <c r="F49" s="25">
        <v>0</v>
      </c>
      <c r="G49" s="25">
        <v>8821.48</v>
      </c>
      <c r="H49" s="25">
        <v>8465.67</v>
      </c>
      <c r="I49" s="25">
        <v>757.92</v>
      </c>
      <c r="J49" s="25">
        <v>488.18</v>
      </c>
      <c r="K49" s="25">
        <v>2209.85</v>
      </c>
      <c r="L49" s="25">
        <v>22416.78</v>
      </c>
      <c r="M49" s="27">
        <v>2012</v>
      </c>
      <c r="N49" s="25">
        <v>11.6</v>
      </c>
      <c r="O49" s="25">
        <v>0</v>
      </c>
      <c r="P49" s="25">
        <v>382.96</v>
      </c>
      <c r="Q49" s="25">
        <v>672.62</v>
      </c>
      <c r="R49" s="25">
        <v>2.27</v>
      </c>
      <c r="S49" s="25">
        <v>38644.370000000003</v>
      </c>
      <c r="T49" s="25">
        <v>957.76</v>
      </c>
      <c r="U49" s="26" t="s">
        <v>45</v>
      </c>
      <c r="V49" s="25">
        <v>0</v>
      </c>
      <c r="W49" s="25">
        <v>959.91</v>
      </c>
      <c r="X49" s="25">
        <v>12457.59</v>
      </c>
      <c r="Y49" s="26" t="s">
        <v>45</v>
      </c>
      <c r="Z49" s="25">
        <v>54089.08</v>
      </c>
      <c r="AA49" s="27">
        <v>2012</v>
      </c>
      <c r="AB49" s="25">
        <v>506.35</v>
      </c>
      <c r="AC49" s="25">
        <v>4.9823254036495657</v>
      </c>
      <c r="AD49" s="25">
        <v>179.80767459635044</v>
      </c>
      <c r="AE49" s="25">
        <v>29508.18</v>
      </c>
      <c r="AF49" s="25">
        <v>9859.2099999999991</v>
      </c>
      <c r="AG49" s="25">
        <v>51.93</v>
      </c>
      <c r="AH49" s="25">
        <v>510.97</v>
      </c>
      <c r="AI49" s="25">
        <v>2790.2</v>
      </c>
      <c r="AJ49" s="25">
        <v>43411.63</v>
      </c>
      <c r="AK49" s="27">
        <v>2012</v>
      </c>
      <c r="AL49" s="25">
        <v>16.97</v>
      </c>
      <c r="AM49" s="25">
        <v>0</v>
      </c>
      <c r="AN49" s="25">
        <v>8523.44</v>
      </c>
      <c r="AO49" s="25">
        <v>8656.3200000000015</v>
      </c>
      <c r="AP49" s="25">
        <v>397.79</v>
      </c>
      <c r="AQ49" s="25">
        <v>1086.29</v>
      </c>
      <c r="AR49" s="25">
        <v>4039.7200000000003</v>
      </c>
      <c r="AS49" s="25">
        <v>22720.530000000002</v>
      </c>
      <c r="AT49" s="27">
        <v>2012</v>
      </c>
      <c r="AU49" s="25">
        <v>1747.32</v>
      </c>
      <c r="AV49" s="25">
        <v>380.16710737146678</v>
      </c>
      <c r="AW49" s="25">
        <v>179.80911449316901</v>
      </c>
      <c r="AX49" s="25">
        <v>60.305211517466262</v>
      </c>
      <c r="AY49" s="25">
        <v>0</v>
      </c>
      <c r="AZ49" s="25">
        <v>46853.100000000006</v>
      </c>
      <c r="BA49" s="25">
        <v>27366.43</v>
      </c>
      <c r="BB49" s="25">
        <v>1207.6400000000001</v>
      </c>
      <c r="BC49" s="25">
        <v>3043.22</v>
      </c>
      <c r="BD49" s="25">
        <v>61774.249999999993</v>
      </c>
      <c r="BE49" s="25">
        <v>142638.01999999999</v>
      </c>
      <c r="BF49" s="27">
        <v>2012</v>
      </c>
      <c r="BG49" s="28">
        <v>26714.842138813488</v>
      </c>
      <c r="BH49" s="28">
        <v>662.0992192878291</v>
      </c>
      <c r="BI49" s="28">
        <v>11929.527861186518</v>
      </c>
      <c r="BJ49" s="28">
        <v>295.66078071217095</v>
      </c>
      <c r="BK49" s="28">
        <f t="shared" si="1"/>
        <v>620162.64142686734</v>
      </c>
      <c r="BL49" s="24">
        <v>2012</v>
      </c>
      <c r="BM49" s="28">
        <v>620162.64142686734</v>
      </c>
    </row>
    <row r="50" spans="1:65" ht="12.5">
      <c r="A50" s="24">
        <v>2013</v>
      </c>
      <c r="B50" s="25">
        <v>1555.2</v>
      </c>
      <c r="C50" s="25">
        <v>504.45991838237569</v>
      </c>
      <c r="D50" s="25">
        <v>0</v>
      </c>
      <c r="E50" s="25">
        <v>76.511152237551897</v>
      </c>
      <c r="F50" s="25">
        <v>0</v>
      </c>
      <c r="G50" s="25">
        <v>9029.65</v>
      </c>
      <c r="H50" s="25">
        <v>8338.85</v>
      </c>
      <c r="I50" s="25">
        <v>739.46</v>
      </c>
      <c r="J50" s="25">
        <v>575.69000000000005</v>
      </c>
      <c r="K50" s="25">
        <v>2236.3200000000002</v>
      </c>
      <c r="L50" s="25">
        <v>23068.73</v>
      </c>
      <c r="M50" s="27">
        <v>2013</v>
      </c>
      <c r="N50" s="25">
        <v>9.8800000000000008</v>
      </c>
      <c r="O50" s="25">
        <v>0</v>
      </c>
      <c r="P50" s="25">
        <v>371.4</v>
      </c>
      <c r="Q50" s="25">
        <v>667.42</v>
      </c>
      <c r="R50" s="25">
        <v>2.83</v>
      </c>
      <c r="S50" s="25">
        <v>38176.910000000003</v>
      </c>
      <c r="T50" s="25">
        <v>1091.58</v>
      </c>
      <c r="U50" s="26" t="s">
        <v>45</v>
      </c>
      <c r="V50" s="25">
        <v>0</v>
      </c>
      <c r="W50" s="25">
        <v>979.26</v>
      </c>
      <c r="X50" s="25">
        <v>12672.21</v>
      </c>
      <c r="Y50" s="26" t="s">
        <v>45</v>
      </c>
      <c r="Z50" s="25">
        <v>53971.49</v>
      </c>
      <c r="AA50" s="27">
        <v>2013</v>
      </c>
      <c r="AB50" s="25">
        <v>486.01</v>
      </c>
      <c r="AC50" s="25">
        <v>4.0570364001146713</v>
      </c>
      <c r="AD50" s="25">
        <v>216.47296359988533</v>
      </c>
      <c r="AE50" s="25">
        <v>29621.75</v>
      </c>
      <c r="AF50" s="25">
        <v>9751.7199999999993</v>
      </c>
      <c r="AG50" s="25">
        <v>51.93</v>
      </c>
      <c r="AH50" s="25">
        <v>601.79999999999995</v>
      </c>
      <c r="AI50" s="25">
        <v>2938.09</v>
      </c>
      <c r="AJ50" s="25">
        <v>43671.83</v>
      </c>
      <c r="AK50" s="27">
        <v>2013</v>
      </c>
      <c r="AL50" s="25">
        <v>25.06</v>
      </c>
      <c r="AM50" s="25">
        <v>0</v>
      </c>
      <c r="AN50" s="25">
        <v>8777.9500000000007</v>
      </c>
      <c r="AO50" s="25">
        <v>8729.65</v>
      </c>
      <c r="AP50" s="25">
        <v>400.83</v>
      </c>
      <c r="AQ50" s="25">
        <v>1257.73</v>
      </c>
      <c r="AR50" s="25">
        <v>4145.71</v>
      </c>
      <c r="AS50" s="25">
        <v>23336.919999999995</v>
      </c>
      <c r="AT50" s="27">
        <v>2013</v>
      </c>
      <c r="AU50" s="25">
        <v>2076.14</v>
      </c>
      <c r="AV50" s="25">
        <v>508.51695478249036</v>
      </c>
      <c r="AW50" s="25">
        <v>216.47733508398471</v>
      </c>
      <c r="AX50" s="25">
        <v>76.511152237551897</v>
      </c>
      <c r="AY50" s="25">
        <v>0</v>
      </c>
      <c r="AZ50" s="25">
        <v>47429.36</v>
      </c>
      <c r="BA50" s="25">
        <v>27194.44</v>
      </c>
      <c r="BB50" s="25">
        <v>1192.22</v>
      </c>
      <c r="BC50" s="25">
        <v>3526.81</v>
      </c>
      <c r="BD50" s="25">
        <v>61815.91</v>
      </c>
      <c r="BE50" s="25">
        <v>144048.95999999999</v>
      </c>
      <c r="BF50" s="27">
        <v>2013</v>
      </c>
      <c r="BG50" s="28">
        <v>26264.493374580914</v>
      </c>
      <c r="BH50" s="28">
        <v>750.97213676604599</v>
      </c>
      <c r="BI50" s="28">
        <v>11912.416625419091</v>
      </c>
      <c r="BJ50" s="28">
        <v>340.60786323395394</v>
      </c>
      <c r="BK50" s="28">
        <f t="shared" si="1"/>
        <v>625504.19651272392</v>
      </c>
      <c r="BL50" s="24">
        <v>2013</v>
      </c>
      <c r="BM50" s="28">
        <v>625504.19651272392</v>
      </c>
    </row>
    <row r="51" spans="1:65" ht="12.5">
      <c r="A51" s="24">
        <v>2014</v>
      </c>
      <c r="B51" s="25">
        <v>1626.99</v>
      </c>
      <c r="C51" s="25">
        <v>482.70751272707417</v>
      </c>
      <c r="D51" s="25">
        <v>0</v>
      </c>
      <c r="E51" s="25">
        <v>69.129340369346266</v>
      </c>
      <c r="F51" s="25">
        <v>0</v>
      </c>
      <c r="G51" s="25">
        <v>8653.15</v>
      </c>
      <c r="H51" s="25">
        <v>7996.98</v>
      </c>
      <c r="I51" s="25">
        <v>626.80999999999995</v>
      </c>
      <c r="J51" s="25">
        <v>593.16999999999996</v>
      </c>
      <c r="K51" s="25">
        <v>2198.2800000000002</v>
      </c>
      <c r="L51" s="25">
        <v>22261.01</v>
      </c>
      <c r="M51" s="27">
        <v>2014</v>
      </c>
      <c r="N51" s="25">
        <v>9.36</v>
      </c>
      <c r="O51" s="25">
        <v>0</v>
      </c>
      <c r="P51" s="25">
        <v>381.49</v>
      </c>
      <c r="Q51" s="25">
        <v>675.78</v>
      </c>
      <c r="R51" s="25">
        <v>5.81</v>
      </c>
      <c r="S51" s="25">
        <v>38838.660000000003</v>
      </c>
      <c r="T51" s="25">
        <v>1242.67</v>
      </c>
      <c r="U51" s="26" t="s">
        <v>45</v>
      </c>
      <c r="V51" s="25">
        <v>0</v>
      </c>
      <c r="W51" s="25">
        <v>1044.93</v>
      </c>
      <c r="X51" s="25">
        <v>12419.73</v>
      </c>
      <c r="Y51" s="26" t="s">
        <v>45</v>
      </c>
      <c r="Z51" s="25">
        <v>54618.43</v>
      </c>
      <c r="AA51" s="27">
        <v>2014</v>
      </c>
      <c r="AB51" s="25">
        <v>414.98</v>
      </c>
      <c r="AC51" s="25">
        <v>4.1282124773096465</v>
      </c>
      <c r="AD51" s="25">
        <v>177.82178752269033</v>
      </c>
      <c r="AE51" s="25">
        <v>24393.03</v>
      </c>
      <c r="AF51" s="25">
        <v>9292.8700000000008</v>
      </c>
      <c r="AG51" s="25">
        <v>51.93</v>
      </c>
      <c r="AH51" s="25">
        <v>582.92999999999995</v>
      </c>
      <c r="AI51" s="25">
        <v>2626.52</v>
      </c>
      <c r="AJ51" s="25">
        <v>37544.22</v>
      </c>
      <c r="AK51" s="27">
        <v>2014</v>
      </c>
      <c r="AL51" s="25">
        <v>25.55</v>
      </c>
      <c r="AM51" s="25">
        <v>0</v>
      </c>
      <c r="AN51" s="25">
        <v>7381.2300000000005</v>
      </c>
      <c r="AO51" s="25">
        <v>8357.74</v>
      </c>
      <c r="AP51" s="25">
        <v>476.04</v>
      </c>
      <c r="AQ51" s="25">
        <v>1425.46</v>
      </c>
      <c r="AR51" s="25">
        <v>3946.16</v>
      </c>
      <c r="AS51" s="25">
        <v>21612.190000000002</v>
      </c>
      <c r="AT51" s="27">
        <v>2014</v>
      </c>
      <c r="AU51" s="25">
        <v>2076.88</v>
      </c>
      <c r="AV51" s="25">
        <v>486.83572520438383</v>
      </c>
      <c r="AW51" s="25">
        <v>177.8188897344034</v>
      </c>
      <c r="AX51" s="25">
        <v>69.129340369346266</v>
      </c>
      <c r="AY51" s="25">
        <v>0</v>
      </c>
      <c r="AZ51" s="25">
        <v>40427.410000000003</v>
      </c>
      <c r="BA51" s="25">
        <v>26034.9</v>
      </c>
      <c r="BB51" s="25">
        <v>1154.79</v>
      </c>
      <c r="BC51" s="25">
        <v>3844.22</v>
      </c>
      <c r="BD51" s="25">
        <v>61750.07</v>
      </c>
      <c r="BE51" s="25">
        <v>136035.86000000002</v>
      </c>
      <c r="BF51" s="27">
        <v>2014</v>
      </c>
      <c r="BG51" s="28">
        <v>26500.96587700798</v>
      </c>
      <c r="BH51" s="28">
        <v>847.91687628722264</v>
      </c>
      <c r="BI51" s="28">
        <v>12337.694122992025</v>
      </c>
      <c r="BJ51" s="28">
        <v>394.75312371277738</v>
      </c>
      <c r="BK51" s="28">
        <f t="shared" si="1"/>
        <v>594267.13080840441</v>
      </c>
      <c r="BL51" s="24">
        <v>2014</v>
      </c>
      <c r="BM51" s="28">
        <v>594267.13080840441</v>
      </c>
    </row>
    <row r="52" spans="1:65" ht="12.5">
      <c r="A52" s="24">
        <v>2015</v>
      </c>
      <c r="B52" s="25">
        <v>1380.17</v>
      </c>
      <c r="C52" s="25">
        <v>395.45200726091537</v>
      </c>
      <c r="D52" s="25">
        <v>0</v>
      </c>
      <c r="E52" s="25">
        <v>88.253494523885905</v>
      </c>
      <c r="F52" s="25">
        <v>0</v>
      </c>
      <c r="G52" s="25">
        <v>8418.0400000000009</v>
      </c>
      <c r="H52" s="25">
        <v>7991.26</v>
      </c>
      <c r="I52" s="25">
        <v>678.41</v>
      </c>
      <c r="J52" s="25">
        <v>1112.68</v>
      </c>
      <c r="K52" s="25">
        <v>2216.9499999999998</v>
      </c>
      <c r="L52" s="25">
        <v>22307.72</v>
      </c>
      <c r="M52" s="27">
        <v>2015</v>
      </c>
      <c r="N52" s="25">
        <v>9.36</v>
      </c>
      <c r="O52" s="25">
        <v>0</v>
      </c>
      <c r="P52" s="25">
        <v>380</v>
      </c>
      <c r="Q52" s="25">
        <v>673.67</v>
      </c>
      <c r="R52" s="25">
        <v>8.35</v>
      </c>
      <c r="S52" s="25">
        <v>39028.019999999997</v>
      </c>
      <c r="T52" s="25">
        <v>997.79</v>
      </c>
      <c r="U52" s="26" t="s">
        <v>45</v>
      </c>
      <c r="V52" s="25">
        <v>0</v>
      </c>
      <c r="W52" s="25">
        <v>997.2</v>
      </c>
      <c r="X52" s="25">
        <v>12522.91</v>
      </c>
      <c r="Y52" s="26" t="s">
        <v>45</v>
      </c>
      <c r="Z52" s="25">
        <v>54617.3</v>
      </c>
      <c r="AA52" s="27">
        <v>2015</v>
      </c>
      <c r="AB52" s="25">
        <v>417.8</v>
      </c>
      <c r="AC52" s="25">
        <v>1.8505780070698052</v>
      </c>
      <c r="AD52" s="25">
        <v>165.10942199293021</v>
      </c>
      <c r="AE52" s="25">
        <v>25587.42</v>
      </c>
      <c r="AF52" s="25">
        <v>9266.02</v>
      </c>
      <c r="AG52" s="25">
        <v>260.44</v>
      </c>
      <c r="AH52" s="25">
        <v>685.52</v>
      </c>
      <c r="AI52" s="25">
        <v>2642.43</v>
      </c>
      <c r="AJ52" s="25">
        <v>39026.6</v>
      </c>
      <c r="AK52" s="27">
        <v>2015</v>
      </c>
      <c r="AL52" s="25">
        <v>26.520000000000003</v>
      </c>
      <c r="AM52" s="25">
        <v>0</v>
      </c>
      <c r="AN52" s="25">
        <v>7890.2499999999991</v>
      </c>
      <c r="AO52" s="25">
        <v>8448.9500000000007</v>
      </c>
      <c r="AP52" s="25">
        <v>297.62</v>
      </c>
      <c r="AQ52" s="25">
        <v>1088.3599999999999</v>
      </c>
      <c r="AR52" s="25">
        <v>3996.6800000000003</v>
      </c>
      <c r="AS52" s="25">
        <v>21748.36</v>
      </c>
      <c r="AT52" s="27">
        <v>2015</v>
      </c>
      <c r="AU52" s="25">
        <v>1833.85</v>
      </c>
      <c r="AV52" s="25">
        <v>397.30258526798519</v>
      </c>
      <c r="AW52" s="25">
        <v>165.11420907136716</v>
      </c>
      <c r="AX52" s="25">
        <v>88.253494523885905</v>
      </c>
      <c r="AY52" s="25">
        <v>0</v>
      </c>
      <c r="AZ52" s="25">
        <v>41895.689999999995</v>
      </c>
      <c r="BA52" s="25">
        <v>26094.58</v>
      </c>
      <c r="BB52" s="25">
        <v>1236.47</v>
      </c>
      <c r="BC52" s="25">
        <v>3884.36</v>
      </c>
      <c r="BD52" s="25">
        <v>62077.86</v>
      </c>
      <c r="BE52" s="25">
        <v>137699.98000000001</v>
      </c>
      <c r="BF52" s="27">
        <v>2015</v>
      </c>
      <c r="BG52" s="28">
        <v>26335.790901875036</v>
      </c>
      <c r="BH52" s="28">
        <v>673.30058773111978</v>
      </c>
      <c r="BI52" s="28">
        <v>12692.229098124961</v>
      </c>
      <c r="BJ52" s="28">
        <v>324.4894122688803</v>
      </c>
      <c r="BK52" s="28">
        <f t="shared" si="1"/>
        <v>600847.73579064792</v>
      </c>
      <c r="BL52" s="24">
        <v>2015</v>
      </c>
      <c r="BM52" s="28">
        <v>600847.73579064792</v>
      </c>
    </row>
    <row r="53" spans="1:65" ht="12.5">
      <c r="A53" s="24">
        <v>2016</v>
      </c>
      <c r="B53" s="25">
        <v>1304.19</v>
      </c>
      <c r="C53" s="25">
        <v>224.84028620562586</v>
      </c>
      <c r="D53" s="25">
        <v>0</v>
      </c>
      <c r="E53" s="25">
        <v>66.604270696701406</v>
      </c>
      <c r="F53" s="25">
        <v>0</v>
      </c>
      <c r="G53" s="25">
        <v>8268.65</v>
      </c>
      <c r="H53" s="25">
        <v>8023.73</v>
      </c>
      <c r="I53" s="25">
        <v>666.96</v>
      </c>
      <c r="J53" s="25">
        <v>1194.1400000000001</v>
      </c>
      <c r="K53" s="25">
        <v>2146.44</v>
      </c>
      <c r="L53" s="25">
        <v>21918.48</v>
      </c>
      <c r="M53" s="27">
        <v>2016</v>
      </c>
      <c r="N53" s="25">
        <v>10.8</v>
      </c>
      <c r="O53" s="25">
        <v>0</v>
      </c>
      <c r="P53" s="25">
        <v>391.84</v>
      </c>
      <c r="Q53" s="25">
        <v>666.41</v>
      </c>
      <c r="R53" s="25">
        <v>11.43</v>
      </c>
      <c r="S53" s="25">
        <v>40309.269999999997</v>
      </c>
      <c r="T53" s="25">
        <v>1009.54</v>
      </c>
      <c r="U53" s="26" t="s">
        <v>45</v>
      </c>
      <c r="V53" s="25">
        <v>0</v>
      </c>
      <c r="W53" s="25">
        <v>995.23</v>
      </c>
      <c r="X53" s="25">
        <v>12691.07</v>
      </c>
      <c r="Y53" s="26" t="s">
        <v>45</v>
      </c>
      <c r="Z53" s="25">
        <v>56085.599999999999</v>
      </c>
      <c r="AA53" s="27">
        <v>2016</v>
      </c>
      <c r="AB53" s="25">
        <v>400.95</v>
      </c>
      <c r="AC53" s="25">
        <v>0</v>
      </c>
      <c r="AD53" s="25">
        <v>167.62</v>
      </c>
      <c r="AE53" s="25">
        <v>25999.57</v>
      </c>
      <c r="AF53" s="25">
        <v>9288.48</v>
      </c>
      <c r="AG53" s="25">
        <v>260.44</v>
      </c>
      <c r="AH53" s="25">
        <v>747.7</v>
      </c>
      <c r="AI53" s="25">
        <v>2663.68</v>
      </c>
      <c r="AJ53" s="25">
        <v>39528.44</v>
      </c>
      <c r="AK53" s="27">
        <v>2016</v>
      </c>
      <c r="AL53" s="25">
        <v>28.290000000000003</v>
      </c>
      <c r="AM53" s="25">
        <v>0</v>
      </c>
      <c r="AN53" s="25">
        <v>8015.0700000000006</v>
      </c>
      <c r="AO53" s="25">
        <v>8426.67</v>
      </c>
      <c r="AP53" s="25">
        <v>311.93</v>
      </c>
      <c r="AQ53" s="25">
        <v>1119.8</v>
      </c>
      <c r="AR53" s="25">
        <v>3997.6499999999996</v>
      </c>
      <c r="AS53" s="25">
        <v>21899.42</v>
      </c>
      <c r="AT53" s="27">
        <v>2016</v>
      </c>
      <c r="AU53" s="25">
        <v>1744.23</v>
      </c>
      <c r="AV53" s="25">
        <v>224.84028620562586</v>
      </c>
      <c r="AW53" s="25">
        <v>167.62247253749882</v>
      </c>
      <c r="AX53" s="25">
        <v>66.604270696701406</v>
      </c>
      <c r="AY53" s="25">
        <v>0</v>
      </c>
      <c r="AZ53" s="25">
        <v>42283.28</v>
      </c>
      <c r="BA53" s="25">
        <v>26142.17</v>
      </c>
      <c r="BB53" s="25">
        <v>1239.3399999999999</v>
      </c>
      <c r="BC53" s="25">
        <v>4071.2</v>
      </c>
      <c r="BD53" s="25">
        <v>63469.739999999991</v>
      </c>
      <c r="BE53" s="25">
        <v>139431.93</v>
      </c>
      <c r="BF53" s="27">
        <v>2016</v>
      </c>
      <c r="BG53" s="28">
        <v>26916.804509048743</v>
      </c>
      <c r="BH53" s="28">
        <v>674.12758464901663</v>
      </c>
      <c r="BI53" s="28">
        <v>13392.465490951259</v>
      </c>
      <c r="BJ53" s="28">
        <v>335.41241535098339</v>
      </c>
      <c r="BK53" s="28">
        <f t="shared" si="1"/>
        <v>609080.70158634207</v>
      </c>
      <c r="BL53" s="24">
        <v>2016</v>
      </c>
      <c r="BM53" s="28">
        <v>609080.70158634207</v>
      </c>
    </row>
    <row r="54" spans="1:65" ht="12.5">
      <c r="A54" s="24">
        <v>2017</v>
      </c>
      <c r="B54" s="25">
        <v>1124.8499999999999</v>
      </c>
      <c r="C54" s="25">
        <v>210.33379840041491</v>
      </c>
      <c r="D54" s="25">
        <v>0</v>
      </c>
      <c r="E54" s="25">
        <v>65.006328279325174</v>
      </c>
      <c r="F54" s="25">
        <v>0</v>
      </c>
      <c r="G54" s="25">
        <v>8495.93</v>
      </c>
      <c r="H54" s="25">
        <v>7928.53</v>
      </c>
      <c r="I54" s="25">
        <v>709.08</v>
      </c>
      <c r="J54" s="25">
        <v>1232.8599999999999</v>
      </c>
      <c r="K54" s="25">
        <v>2116</v>
      </c>
      <c r="L54" s="25">
        <v>21903.22</v>
      </c>
      <c r="M54" s="27">
        <v>2017</v>
      </c>
      <c r="N54" s="25">
        <v>10.77</v>
      </c>
      <c r="O54" s="25">
        <v>0</v>
      </c>
      <c r="P54" s="25">
        <v>400.21</v>
      </c>
      <c r="Q54" s="25">
        <v>661.42</v>
      </c>
      <c r="R54" s="25">
        <v>15.82</v>
      </c>
      <c r="S54" s="25">
        <v>40592.699999999997</v>
      </c>
      <c r="T54" s="25">
        <v>997.12</v>
      </c>
      <c r="U54" s="26" t="s">
        <v>45</v>
      </c>
      <c r="V54" s="25">
        <v>0</v>
      </c>
      <c r="W54" s="25">
        <v>1017.12</v>
      </c>
      <c r="X54" s="25">
        <v>13757.92</v>
      </c>
      <c r="Y54" s="26" t="s">
        <v>45</v>
      </c>
      <c r="Z54" s="25">
        <v>57453.08</v>
      </c>
      <c r="AA54" s="27">
        <v>2017</v>
      </c>
      <c r="AB54" s="25">
        <v>370.53</v>
      </c>
      <c r="AC54" s="25">
        <v>0</v>
      </c>
      <c r="AD54" s="25">
        <v>172.41</v>
      </c>
      <c r="AE54" s="25">
        <v>25431.94</v>
      </c>
      <c r="AF54" s="25">
        <v>9056.1</v>
      </c>
      <c r="AG54" s="25">
        <v>268.56</v>
      </c>
      <c r="AH54" s="25">
        <v>781.67</v>
      </c>
      <c r="AI54" s="25">
        <v>2537.5100000000002</v>
      </c>
      <c r="AJ54" s="25">
        <v>38618.730000000003</v>
      </c>
      <c r="AK54" s="27">
        <v>2017</v>
      </c>
      <c r="AL54" s="25">
        <v>26.870000000000005</v>
      </c>
      <c r="AM54" s="25">
        <v>0</v>
      </c>
      <c r="AN54" s="25">
        <v>7959.1600000000008</v>
      </c>
      <c r="AO54" s="25">
        <v>8336.94</v>
      </c>
      <c r="AP54" s="25">
        <v>293.14999999999998</v>
      </c>
      <c r="AQ54" s="25">
        <v>1272.5899999999997</v>
      </c>
      <c r="AR54" s="25">
        <v>3922.97</v>
      </c>
      <c r="AS54" s="25">
        <v>21811.690000000002</v>
      </c>
      <c r="AT54" s="27">
        <v>2017</v>
      </c>
      <c r="AU54" s="25">
        <v>1533.02</v>
      </c>
      <c r="AV54" s="25">
        <v>210.33379840041491</v>
      </c>
      <c r="AW54" s="25">
        <v>172.40530705550782</v>
      </c>
      <c r="AX54" s="25">
        <v>65.006328279325174</v>
      </c>
      <c r="AY54" s="25">
        <v>0</v>
      </c>
      <c r="AZ54" s="25">
        <v>41887.03</v>
      </c>
      <c r="BA54" s="25">
        <v>25737.61</v>
      </c>
      <c r="BB54" s="25">
        <v>1270.79</v>
      </c>
      <c r="BC54" s="25">
        <v>4284.25</v>
      </c>
      <c r="BD54" s="25">
        <v>64605.63</v>
      </c>
      <c r="BE54" s="25">
        <v>139786.72</v>
      </c>
      <c r="BF54" s="27">
        <v>2017</v>
      </c>
      <c r="BG54" s="28">
        <v>27005.032310553641</v>
      </c>
      <c r="BH54" s="28">
        <v>663.35222386042938</v>
      </c>
      <c r="BI54" s="28">
        <v>13587.667689446358</v>
      </c>
      <c r="BJ54" s="28">
        <v>333.76777613957074</v>
      </c>
      <c r="BK54" s="28">
        <f t="shared" si="1"/>
        <v>610780.40556041501</v>
      </c>
      <c r="BL54" s="24">
        <v>2017</v>
      </c>
      <c r="BM54" s="28">
        <v>610780.40556041501</v>
      </c>
    </row>
    <row r="55" spans="1:65" ht="12.5">
      <c r="A55" s="24">
        <v>2018</v>
      </c>
      <c r="B55" s="25">
        <v>1071.67</v>
      </c>
      <c r="C55" s="25">
        <v>192.92275723703065</v>
      </c>
      <c r="D55" s="25">
        <v>0</v>
      </c>
      <c r="E55" s="25">
        <v>63.486588647338984</v>
      </c>
      <c r="F55" s="25">
        <v>0</v>
      </c>
      <c r="G55" s="25">
        <v>8971.98</v>
      </c>
      <c r="H55" s="25">
        <v>7902.49</v>
      </c>
      <c r="I55" s="25">
        <v>704.88</v>
      </c>
      <c r="J55" s="25">
        <v>1432.5</v>
      </c>
      <c r="K55" s="25">
        <v>2123.2600000000002</v>
      </c>
      <c r="L55" s="25">
        <v>22472.400000000001</v>
      </c>
      <c r="M55" s="27">
        <v>2018</v>
      </c>
      <c r="N55" s="25">
        <v>10.77</v>
      </c>
      <c r="O55" s="25">
        <v>0</v>
      </c>
      <c r="P55" s="25">
        <v>434.52</v>
      </c>
      <c r="Q55" s="25">
        <v>577.23</v>
      </c>
      <c r="R55" s="25">
        <v>52.77</v>
      </c>
      <c r="S55" s="25">
        <v>40151.18</v>
      </c>
      <c r="T55" s="25">
        <v>1420.89</v>
      </c>
      <c r="U55" s="25">
        <v>9.7200000000000006</v>
      </c>
      <c r="V55" s="25">
        <v>0</v>
      </c>
      <c r="W55" s="25">
        <v>1028.53</v>
      </c>
      <c r="X55" s="25">
        <v>13565.43</v>
      </c>
      <c r="Y55" s="26" t="s">
        <v>45</v>
      </c>
      <c r="Z55" s="25">
        <v>57251.040000000001</v>
      </c>
      <c r="AA55" s="27">
        <v>2018</v>
      </c>
      <c r="AB55" s="25">
        <v>358.49</v>
      </c>
      <c r="AC55" s="25">
        <v>0</v>
      </c>
      <c r="AD55" s="25">
        <v>170.87</v>
      </c>
      <c r="AE55" s="25">
        <v>26044.91</v>
      </c>
      <c r="AF55" s="25">
        <v>9111.0300000000007</v>
      </c>
      <c r="AG55" s="25">
        <v>269.86</v>
      </c>
      <c r="AH55" s="25">
        <v>879.19</v>
      </c>
      <c r="AI55" s="25">
        <v>2595.9499999999998</v>
      </c>
      <c r="AJ55" s="25">
        <v>39430.29</v>
      </c>
      <c r="AK55" s="27">
        <v>2018</v>
      </c>
      <c r="AL55" s="25">
        <v>26.35</v>
      </c>
      <c r="AM55" s="25">
        <v>0</v>
      </c>
      <c r="AN55" s="25">
        <v>8408.84</v>
      </c>
      <c r="AO55" s="25">
        <v>8325.8700000000008</v>
      </c>
      <c r="AP55" s="25">
        <v>309.77</v>
      </c>
      <c r="AQ55" s="25">
        <v>1314.49</v>
      </c>
      <c r="AR55" s="25">
        <v>3958.88</v>
      </c>
      <c r="AS55" s="25">
        <v>22344.210000000003</v>
      </c>
      <c r="AT55" s="27">
        <v>2018</v>
      </c>
      <c r="AU55" s="25">
        <v>1467.28</v>
      </c>
      <c r="AV55" s="25">
        <v>192.92275723703065</v>
      </c>
      <c r="AW55" s="25">
        <v>170.86665251265882</v>
      </c>
      <c r="AX55" s="25">
        <v>63.486588647338984</v>
      </c>
      <c r="AY55" s="25">
        <v>0</v>
      </c>
      <c r="AZ55" s="25">
        <v>43435.45</v>
      </c>
      <c r="BA55" s="25">
        <v>25826.68</v>
      </c>
      <c r="BB55" s="25">
        <v>1284.51</v>
      </c>
      <c r="BC55" s="25">
        <v>5047.07</v>
      </c>
      <c r="BD55" s="25">
        <v>64000.46</v>
      </c>
      <c r="BE55" s="25">
        <v>141497.94</v>
      </c>
      <c r="BF55" s="27">
        <v>2018</v>
      </c>
      <c r="BG55" s="28">
        <v>26543.376604845351</v>
      </c>
      <c r="BH55" s="28">
        <v>939.33026088047006</v>
      </c>
      <c r="BI55" s="28">
        <v>13607.803395154649</v>
      </c>
      <c r="BJ55" s="28">
        <v>481.55973911953004</v>
      </c>
      <c r="BK55" s="28">
        <f t="shared" si="1"/>
        <v>617635.40534428158</v>
      </c>
      <c r="BL55" s="24">
        <v>2018</v>
      </c>
      <c r="BM55" s="28">
        <v>617635.40534428158</v>
      </c>
    </row>
    <row r="56" spans="1:65" ht="12.5">
      <c r="A56" s="24">
        <v>2019</v>
      </c>
      <c r="B56" s="25">
        <v>930.57</v>
      </c>
      <c r="C56" s="25">
        <v>198.43605617655493</v>
      </c>
      <c r="D56" s="25">
        <v>0</v>
      </c>
      <c r="E56" s="25">
        <v>86.11340896892105</v>
      </c>
      <c r="F56" s="25">
        <v>0</v>
      </c>
      <c r="G56" s="25">
        <v>8718.42</v>
      </c>
      <c r="H56" s="25">
        <v>7941.25</v>
      </c>
      <c r="I56" s="25">
        <v>689.47</v>
      </c>
      <c r="J56" s="25">
        <v>1522.03</v>
      </c>
      <c r="K56" s="25">
        <v>2098.7800000000002</v>
      </c>
      <c r="L56" s="25">
        <v>22274.12</v>
      </c>
      <c r="M56" s="27">
        <v>2019</v>
      </c>
      <c r="N56" s="25">
        <v>10.77</v>
      </c>
      <c r="O56" s="25">
        <v>0</v>
      </c>
      <c r="P56" s="25">
        <v>454.85</v>
      </c>
      <c r="Q56" s="25">
        <v>601.16999999999996</v>
      </c>
      <c r="R56" s="25">
        <v>73.400000000000006</v>
      </c>
      <c r="S56" s="25">
        <v>38870.370000000003</v>
      </c>
      <c r="T56" s="25">
        <v>1907.28</v>
      </c>
      <c r="U56" s="25">
        <v>42.73</v>
      </c>
      <c r="V56" s="25">
        <v>0</v>
      </c>
      <c r="W56" s="25">
        <v>972.5</v>
      </c>
      <c r="X56" s="25">
        <v>13342.09</v>
      </c>
      <c r="Y56" s="26" t="s">
        <v>45</v>
      </c>
      <c r="Z56" s="25">
        <v>56275.15</v>
      </c>
      <c r="AA56" s="27">
        <v>2019</v>
      </c>
      <c r="AB56" s="25">
        <v>336.98</v>
      </c>
      <c r="AC56" s="25">
        <v>0</v>
      </c>
      <c r="AD56" s="25">
        <v>142.02000000000001</v>
      </c>
      <c r="AE56" s="25">
        <v>25144.35</v>
      </c>
      <c r="AF56" s="25">
        <v>8940.58</v>
      </c>
      <c r="AG56" s="25">
        <v>260.44</v>
      </c>
      <c r="AH56" s="25">
        <v>941.52</v>
      </c>
      <c r="AI56" s="25">
        <v>2572.89</v>
      </c>
      <c r="AJ56" s="25">
        <v>38338.78</v>
      </c>
      <c r="AK56" s="27">
        <v>2019</v>
      </c>
      <c r="AL56" s="25">
        <v>21.509999999999998</v>
      </c>
      <c r="AM56" s="25">
        <v>0</v>
      </c>
      <c r="AN56" s="25">
        <v>8393.84</v>
      </c>
      <c r="AO56" s="25">
        <v>8139.41</v>
      </c>
      <c r="AP56" s="25">
        <v>290.81</v>
      </c>
      <c r="AQ56" s="25">
        <v>1373.3799999999999</v>
      </c>
      <c r="AR56" s="25">
        <v>3933.31</v>
      </c>
      <c r="AS56" s="25">
        <v>22152.29</v>
      </c>
      <c r="AT56" s="27">
        <v>2019</v>
      </c>
      <c r="AU56" s="25">
        <v>1299.83</v>
      </c>
      <c r="AV56" s="25">
        <v>198.43605617655493</v>
      </c>
      <c r="AW56" s="25">
        <v>142.02289314512277</v>
      </c>
      <c r="AX56" s="25">
        <v>86.11340896892105</v>
      </c>
      <c r="AY56" s="25">
        <v>0</v>
      </c>
      <c r="AZ56" s="25">
        <v>42299.340000000004</v>
      </c>
      <c r="BA56" s="25">
        <v>25549.49</v>
      </c>
      <c r="BB56" s="25">
        <v>1240.73</v>
      </c>
      <c r="BC56" s="25">
        <v>5744.22</v>
      </c>
      <c r="BD56" s="25">
        <v>62391.12999999999</v>
      </c>
      <c r="BE56" s="25">
        <v>139040.35</v>
      </c>
      <c r="BF56" s="27">
        <v>2019</v>
      </c>
      <c r="BG56" s="28">
        <v>25799.743387664948</v>
      </c>
      <c r="BH56" s="28">
        <v>1265.9342982437677</v>
      </c>
      <c r="BI56" s="28">
        <v>13070.626612335049</v>
      </c>
      <c r="BJ56" s="28">
        <v>641.34570175623207</v>
      </c>
      <c r="BK56" s="28">
        <f t="shared" si="1"/>
        <v>606855.92182343593</v>
      </c>
      <c r="BL56" s="24">
        <v>2019</v>
      </c>
      <c r="BM56" s="28">
        <v>606855.92182343593</v>
      </c>
    </row>
    <row r="57" spans="1:65" ht="12.5">
      <c r="A57" s="24">
        <v>2020</v>
      </c>
      <c r="B57" s="25">
        <v>799.09</v>
      </c>
      <c r="C57" s="25">
        <v>207.73734594439665</v>
      </c>
      <c r="D57" s="25">
        <v>0</v>
      </c>
      <c r="E57" s="25">
        <v>101.19092498500395</v>
      </c>
      <c r="F57" s="25">
        <v>0</v>
      </c>
      <c r="G57" s="25">
        <v>8239.9</v>
      </c>
      <c r="H57" s="25">
        <v>7371.54</v>
      </c>
      <c r="I57" s="25">
        <v>653.59</v>
      </c>
      <c r="J57" s="25">
        <v>1774.55</v>
      </c>
      <c r="K57" s="25">
        <v>2102.15</v>
      </c>
      <c r="L57" s="25">
        <v>21345.74</v>
      </c>
      <c r="M57" s="27">
        <v>2020</v>
      </c>
      <c r="N57" s="25">
        <v>9.4700000000000006</v>
      </c>
      <c r="O57" s="25">
        <v>0</v>
      </c>
      <c r="P57" s="25">
        <v>416.65</v>
      </c>
      <c r="Q57" s="25">
        <v>471.87</v>
      </c>
      <c r="R57" s="25">
        <v>96.91</v>
      </c>
      <c r="S57" s="25">
        <v>32432.89</v>
      </c>
      <c r="T57" s="25">
        <v>1821.98</v>
      </c>
      <c r="U57" s="25">
        <v>76.22</v>
      </c>
      <c r="V57" s="25">
        <v>0</v>
      </c>
      <c r="W57" s="25">
        <v>617.69000000000005</v>
      </c>
      <c r="X57" s="25">
        <v>5768.14</v>
      </c>
      <c r="Y57" s="26" t="s">
        <v>45</v>
      </c>
      <c r="Z57" s="25">
        <v>41711.82</v>
      </c>
      <c r="AA57" s="27">
        <v>2020</v>
      </c>
      <c r="AB57" s="25">
        <v>320.85000000000002</v>
      </c>
      <c r="AC57" s="25">
        <v>0</v>
      </c>
      <c r="AD57" s="25">
        <v>140.85</v>
      </c>
      <c r="AE57" s="25">
        <v>25813.03</v>
      </c>
      <c r="AF57" s="25">
        <v>9249.64</v>
      </c>
      <c r="AG57" s="25">
        <v>272.24</v>
      </c>
      <c r="AH57" s="25">
        <v>1021.5</v>
      </c>
      <c r="AI57" s="25">
        <v>2572.4299999999998</v>
      </c>
      <c r="AJ57" s="25">
        <v>39390.54</v>
      </c>
      <c r="AK57" s="27">
        <v>2020</v>
      </c>
      <c r="AL57" s="25">
        <v>21.47</v>
      </c>
      <c r="AM57" s="25">
        <v>0</v>
      </c>
      <c r="AN57" s="25">
        <v>7684.25</v>
      </c>
      <c r="AO57" s="25">
        <v>6902.73</v>
      </c>
      <c r="AP57" s="25">
        <v>324.05</v>
      </c>
      <c r="AQ57" s="25">
        <v>1401.6799999999998</v>
      </c>
      <c r="AR57" s="25">
        <v>3751.46</v>
      </c>
      <c r="AS57" s="25">
        <v>20085.64</v>
      </c>
      <c r="AT57" s="27">
        <v>2020</v>
      </c>
      <c r="AU57" s="25">
        <v>1150.8900000000001</v>
      </c>
      <c r="AV57" s="25">
        <v>207.73734594439665</v>
      </c>
      <c r="AW57" s="25">
        <v>140.84867791153147</v>
      </c>
      <c r="AX57" s="25">
        <v>101.19092498500395</v>
      </c>
      <c r="AY57" s="25">
        <v>0</v>
      </c>
      <c r="AZ57" s="25">
        <v>41813.39</v>
      </c>
      <c r="BA57" s="25">
        <v>24037.46</v>
      </c>
      <c r="BB57" s="25">
        <v>1249.8800000000001</v>
      </c>
      <c r="BC57" s="25">
        <v>6019.7</v>
      </c>
      <c r="BD57" s="25">
        <v>47716.639999999999</v>
      </c>
      <c r="BE57" s="25">
        <v>122533.73</v>
      </c>
      <c r="BF57" s="27">
        <v>2020</v>
      </c>
      <c r="BG57" s="28">
        <v>19856.617236769554</v>
      </c>
      <c r="BH57" s="28">
        <v>1115.4836794701118</v>
      </c>
      <c r="BI57" s="28">
        <v>12576.272763230443</v>
      </c>
      <c r="BJ57" s="28">
        <v>706.49632052988818</v>
      </c>
      <c r="BK57" s="28">
        <f t="shared" si="1"/>
        <v>534297.82521977043</v>
      </c>
      <c r="BL57" s="24">
        <v>2020</v>
      </c>
      <c r="BM57" s="28">
        <v>534297.82521977043</v>
      </c>
    </row>
    <row r="58" spans="1:65" ht="12.5">
      <c r="A58" s="24">
        <v>2021</v>
      </c>
      <c r="B58" s="25">
        <v>754.99</v>
      </c>
      <c r="C58" s="25">
        <v>221.61881627973634</v>
      </c>
      <c r="D58" s="25">
        <v>0</v>
      </c>
      <c r="E58" s="25">
        <v>104.41833053482375</v>
      </c>
      <c r="F58" s="25">
        <v>0</v>
      </c>
      <c r="G58" s="25">
        <v>8201.2199999999993</v>
      </c>
      <c r="H58" s="25">
        <v>7578.79</v>
      </c>
      <c r="I58" s="25">
        <v>644.72</v>
      </c>
      <c r="J58" s="25">
        <v>1749.75</v>
      </c>
      <c r="K58" s="25">
        <v>2231.38</v>
      </c>
      <c r="L58" s="25">
        <v>21593.77</v>
      </c>
      <c r="M58" s="27">
        <v>2021</v>
      </c>
      <c r="N58" s="25">
        <v>10.050000000000001</v>
      </c>
      <c r="O58" s="25">
        <v>0</v>
      </c>
      <c r="P58" s="25">
        <v>407.4</v>
      </c>
      <c r="Q58" s="25">
        <v>551.66</v>
      </c>
      <c r="R58" s="25">
        <v>194.52</v>
      </c>
      <c r="S58" s="25">
        <v>35323.81</v>
      </c>
      <c r="T58" s="25">
        <v>1775.61</v>
      </c>
      <c r="U58" s="25">
        <v>84.09</v>
      </c>
      <c r="V58" s="25">
        <v>0</v>
      </c>
      <c r="W58" s="25">
        <v>689.99</v>
      </c>
      <c r="X58" s="25">
        <v>5341.67</v>
      </c>
      <c r="Y58" s="25">
        <v>16.350000000000001</v>
      </c>
      <c r="Z58" s="25">
        <v>44395.15</v>
      </c>
      <c r="AA58" s="27">
        <v>2021</v>
      </c>
      <c r="AB58" s="25">
        <v>323.39999999999998</v>
      </c>
      <c r="AC58" s="25">
        <v>0</v>
      </c>
      <c r="AD58" s="25">
        <v>150.88</v>
      </c>
      <c r="AE58" s="25">
        <v>27411.55</v>
      </c>
      <c r="AF58" s="25">
        <v>9166.4599999999991</v>
      </c>
      <c r="AG58" s="25">
        <v>272.38</v>
      </c>
      <c r="AH58" s="25">
        <v>1147.02</v>
      </c>
      <c r="AI58" s="25">
        <v>2453.1</v>
      </c>
      <c r="AJ58" s="25">
        <v>40924.79</v>
      </c>
      <c r="AK58" s="27">
        <v>2021</v>
      </c>
      <c r="AL58" s="25">
        <v>21.270000000000003</v>
      </c>
      <c r="AM58" s="25">
        <v>0</v>
      </c>
      <c r="AN58" s="25">
        <v>8472.02</v>
      </c>
      <c r="AO58" s="25">
        <v>7178.08</v>
      </c>
      <c r="AP58" s="25">
        <v>333.34</v>
      </c>
      <c r="AQ58" s="25">
        <v>1476.52</v>
      </c>
      <c r="AR58" s="25">
        <v>3710.5199999999995</v>
      </c>
      <c r="AS58" s="25">
        <v>21191.759999999998</v>
      </c>
      <c r="AT58" s="27">
        <v>2021</v>
      </c>
      <c r="AU58" s="25">
        <v>1109.72</v>
      </c>
      <c r="AV58" s="25">
        <v>221.61881627973634</v>
      </c>
      <c r="AW58" s="25">
        <v>150.87533109509837</v>
      </c>
      <c r="AX58" s="25">
        <v>104.41833053482375</v>
      </c>
      <c r="AY58" s="25">
        <v>0</v>
      </c>
      <c r="AZ58" s="25">
        <v>44168.890000000007</v>
      </c>
      <c r="BA58" s="25">
        <v>24525.24</v>
      </c>
      <c r="BB58" s="25">
        <v>1250.45</v>
      </c>
      <c r="BC58" s="25">
        <v>6165.25</v>
      </c>
      <c r="BD58" s="25">
        <v>50302.12</v>
      </c>
      <c r="BE58" s="25">
        <v>128105.48</v>
      </c>
      <c r="BF58" s="27">
        <v>2021</v>
      </c>
      <c r="BG58" s="28">
        <v>21568.457698303533</v>
      </c>
      <c r="BH58" s="28">
        <v>1084.1743620998056</v>
      </c>
      <c r="BI58" s="28">
        <v>13755.352301696463</v>
      </c>
      <c r="BJ58" s="28">
        <v>691.43563790019414</v>
      </c>
      <c r="BK58" s="28">
        <f t="shared" si="1"/>
        <v>559412.52962472406</v>
      </c>
      <c r="BL58" s="24">
        <v>2021</v>
      </c>
      <c r="BM58" s="28">
        <v>559412.52962472406</v>
      </c>
    </row>
    <row r="59" spans="1:65">
      <c r="A59" s="24">
        <v>2022</v>
      </c>
      <c r="B59" s="25">
        <v>709.87</v>
      </c>
      <c r="C59" s="25">
        <v>237.58289863380145</v>
      </c>
      <c r="D59" s="25">
        <v>0</v>
      </c>
      <c r="E59" s="25">
        <v>95.426294937231305</v>
      </c>
      <c r="F59" s="25">
        <v>0</v>
      </c>
      <c r="G59" s="25">
        <v>7501.98</v>
      </c>
      <c r="H59" s="25">
        <v>7477.37</v>
      </c>
      <c r="I59" s="25">
        <v>601.19000000000005</v>
      </c>
      <c r="J59" s="25">
        <v>1760.29</v>
      </c>
      <c r="K59" s="25">
        <v>2190.86</v>
      </c>
      <c r="L59" s="25">
        <v>20638.95</v>
      </c>
      <c r="M59" s="27">
        <v>2022</v>
      </c>
      <c r="N59" s="25">
        <v>10.77</v>
      </c>
      <c r="O59" s="25">
        <v>0</v>
      </c>
      <c r="P59" s="25">
        <v>407.38</v>
      </c>
      <c r="Q59" s="25">
        <v>588.5</v>
      </c>
      <c r="R59" s="25">
        <v>342.96</v>
      </c>
      <c r="S59" s="25">
        <v>35612.29</v>
      </c>
      <c r="T59" s="25">
        <v>2312.5</v>
      </c>
      <c r="U59" s="25">
        <v>84.09</v>
      </c>
      <c r="V59" s="25">
        <v>0</v>
      </c>
      <c r="W59" s="25">
        <v>794.56</v>
      </c>
      <c r="X59" s="25">
        <v>10588.33</v>
      </c>
      <c r="Y59" s="25">
        <v>42.01</v>
      </c>
      <c r="Z59" s="25">
        <v>50783.38</v>
      </c>
      <c r="AA59" s="27">
        <v>2022</v>
      </c>
      <c r="AB59" s="25">
        <v>304.32</v>
      </c>
      <c r="AC59" s="25">
        <v>0</v>
      </c>
      <c r="AD59" s="25">
        <v>159.91999999999999</v>
      </c>
      <c r="AE59" s="25">
        <v>22277.84</v>
      </c>
      <c r="AF59" s="25">
        <v>8204.36</v>
      </c>
      <c r="AG59" s="25">
        <v>271.37</v>
      </c>
      <c r="AH59" s="25">
        <v>1178.3</v>
      </c>
      <c r="AI59" s="25">
        <v>1907.11</v>
      </c>
      <c r="AJ59" s="25">
        <v>34303.21</v>
      </c>
      <c r="AK59" s="27">
        <v>2022</v>
      </c>
      <c r="AL59" s="25">
        <v>18.939999999999998</v>
      </c>
      <c r="AM59" s="25">
        <v>0</v>
      </c>
      <c r="AN59" s="25">
        <v>7757.7899999999991</v>
      </c>
      <c r="AO59" s="25">
        <v>6990.9300000000012</v>
      </c>
      <c r="AP59" s="25">
        <v>347.5</v>
      </c>
      <c r="AQ59" s="25">
        <v>1442.57</v>
      </c>
      <c r="AR59" s="25">
        <v>3471.0299999999997</v>
      </c>
      <c r="AS59" s="25">
        <v>20028.759999999998</v>
      </c>
      <c r="AT59" s="27">
        <v>2022</v>
      </c>
      <c r="AU59" s="25">
        <v>1043.9000000000001</v>
      </c>
      <c r="AV59" s="25">
        <v>237.58289863380145</v>
      </c>
      <c r="AW59" s="25">
        <v>159.917305588994</v>
      </c>
      <c r="AX59" s="25">
        <v>95.426294937231305</v>
      </c>
      <c r="AY59" s="25">
        <v>0</v>
      </c>
      <c r="AZ59" s="25">
        <v>37621.69</v>
      </c>
      <c r="BA59" s="25">
        <v>23423</v>
      </c>
      <c r="BB59" s="25">
        <v>1220.04</v>
      </c>
      <c r="BC59" s="25">
        <v>6735.67</v>
      </c>
      <c r="BD59" s="25">
        <v>55152.670000000006</v>
      </c>
      <c r="BE59" s="25">
        <v>125754.29</v>
      </c>
      <c r="BF59" s="27">
        <v>2022</v>
      </c>
      <c r="BG59" s="30">
        <v>22309.517427557796</v>
      </c>
      <c r="BH59" s="30">
        <v>1448.6785054043814</v>
      </c>
      <c r="BI59" s="30">
        <v>13302.772572442207</v>
      </c>
      <c r="BJ59" s="30">
        <v>863.82149459561867</v>
      </c>
      <c r="BK59" s="28">
        <f t="shared" si="1"/>
        <v>550923.21569273097</v>
      </c>
      <c r="BL59" s="24">
        <v>2022</v>
      </c>
      <c r="BM59" s="28">
        <v>550923.21569273097</v>
      </c>
    </row>
    <row r="60" spans="1:65" ht="12.5">
      <c r="A60" s="24">
        <v>2023</v>
      </c>
      <c r="B60" s="25">
        <v>668.31</v>
      </c>
      <c r="C60" s="25">
        <v>157.17741950893284</v>
      </c>
      <c r="D60" s="25">
        <v>0</v>
      </c>
      <c r="E60" s="25">
        <v>62.128938311263973</v>
      </c>
      <c r="F60" s="25">
        <v>0</v>
      </c>
      <c r="G60" s="25">
        <v>7504.22</v>
      </c>
      <c r="H60" s="25">
        <v>7411.03</v>
      </c>
      <c r="I60" s="25">
        <v>586.35</v>
      </c>
      <c r="J60" s="25">
        <v>1745.41</v>
      </c>
      <c r="K60" s="25">
        <v>2211.63</v>
      </c>
      <c r="L60" s="25">
        <v>20421.05</v>
      </c>
      <c r="M60" s="27">
        <v>2023</v>
      </c>
      <c r="N60" s="26">
        <v>10.77</v>
      </c>
      <c r="O60" s="25">
        <v>0</v>
      </c>
      <c r="P60" s="26">
        <v>407.54</v>
      </c>
      <c r="Q60" s="26">
        <v>588.12</v>
      </c>
      <c r="R60" s="26">
        <v>531.46</v>
      </c>
      <c r="S60" s="26">
        <v>35238.160000000003</v>
      </c>
      <c r="T60" s="26">
        <v>2575.65</v>
      </c>
      <c r="U60" s="26">
        <v>84.09</v>
      </c>
      <c r="V60" s="26">
        <v>0</v>
      </c>
      <c r="W60" s="26">
        <v>784.63</v>
      </c>
      <c r="X60" s="26">
        <v>12258.48</v>
      </c>
      <c r="Y60" s="26">
        <v>121.76</v>
      </c>
      <c r="Z60" s="26">
        <v>52600.67</v>
      </c>
      <c r="AA60" s="27">
        <v>2023</v>
      </c>
      <c r="AB60" s="25">
        <v>139.84</v>
      </c>
      <c r="AC60" s="25">
        <v>0</v>
      </c>
      <c r="AD60" s="25">
        <v>127.42</v>
      </c>
      <c r="AE60" s="25">
        <v>20386.919999999998</v>
      </c>
      <c r="AF60" s="25">
        <v>7958.36</v>
      </c>
      <c r="AG60" s="25">
        <v>270.95</v>
      </c>
      <c r="AH60" s="25">
        <v>1299.73</v>
      </c>
      <c r="AI60" s="25">
        <v>2065.15</v>
      </c>
      <c r="AJ60" s="25">
        <v>32248.36</v>
      </c>
      <c r="AK60" s="27">
        <v>2023</v>
      </c>
      <c r="AL60" s="25">
        <v>9.18</v>
      </c>
      <c r="AM60" s="25">
        <v>0</v>
      </c>
      <c r="AN60" s="25">
        <v>7654.7400000000007</v>
      </c>
      <c r="AO60" s="25">
        <v>6828.83</v>
      </c>
      <c r="AP60" s="25">
        <v>329.66</v>
      </c>
      <c r="AQ60" s="25">
        <v>1453.75</v>
      </c>
      <c r="AR60" s="25">
        <v>3501.3999999999996</v>
      </c>
      <c r="AS60" s="25">
        <v>19777.550000000003</v>
      </c>
      <c r="AT60" s="27">
        <v>2023</v>
      </c>
      <c r="AU60" s="25">
        <v>828.11</v>
      </c>
      <c r="AV60" s="25">
        <v>157.17741950893284</v>
      </c>
      <c r="AW60" s="25">
        <v>127.41708237794973</v>
      </c>
      <c r="AX60" s="25">
        <v>62.128938311263973</v>
      </c>
      <c r="AY60" s="25">
        <v>0</v>
      </c>
      <c r="AZ60" s="25">
        <v>35629.96</v>
      </c>
      <c r="BA60" s="25">
        <v>23137.24</v>
      </c>
      <c r="BB60" s="25">
        <v>1186.95</v>
      </c>
      <c r="BC60" s="25">
        <v>7196.3</v>
      </c>
      <c r="BD60" s="25">
        <v>56647.57</v>
      </c>
      <c r="BE60" s="25">
        <v>125047.64</v>
      </c>
      <c r="BF60" s="27"/>
      <c r="BG60" s="28"/>
      <c r="BH60" s="28"/>
      <c r="BI60" s="28"/>
      <c r="BJ60" s="28"/>
      <c r="BK60" s="28">
        <f>SUM(B60:BE60)</f>
        <v>508132.96979801828</v>
      </c>
      <c r="BL60" s="24">
        <v>2023</v>
      </c>
      <c r="BM60" s="28">
        <v>508132.96979801828</v>
      </c>
    </row>
    <row r="61" spans="1:65">
      <c r="A61" s="31"/>
      <c r="B61" s="25"/>
      <c r="C61" s="25"/>
      <c r="D61" s="25"/>
      <c r="E61" s="25"/>
      <c r="F61" s="25"/>
      <c r="G61" s="25"/>
      <c r="H61" s="25"/>
      <c r="I61" s="25"/>
      <c r="J61" s="25"/>
      <c r="K61" s="25"/>
      <c r="L61" s="25"/>
      <c r="AA61" s="32"/>
      <c r="AB61"/>
      <c r="AC61"/>
      <c r="AD61"/>
      <c r="AE61"/>
      <c r="AF61"/>
      <c r="AG61"/>
      <c r="AH61"/>
      <c r="AI61"/>
      <c r="AJ61" s="25"/>
    </row>
    <row r="62" spans="1:65">
      <c r="A62" s="31"/>
      <c r="B62" s="25"/>
      <c r="C62" s="25"/>
      <c r="D62" s="25"/>
      <c r="E62" s="25"/>
      <c r="F62" s="25"/>
      <c r="G62" s="25"/>
      <c r="H62" s="25"/>
      <c r="I62" s="25"/>
      <c r="J62" s="25"/>
      <c r="K62" s="25"/>
      <c r="L62" s="25"/>
      <c r="Q62"/>
      <c r="S62"/>
      <c r="T62"/>
      <c r="U62"/>
      <c r="V62"/>
      <c r="W62"/>
      <c r="X62"/>
      <c r="Y62"/>
      <c r="Z62" s="28"/>
      <c r="AB62"/>
      <c r="AC62"/>
      <c r="AD62"/>
      <c r="AE62"/>
      <c r="AF62"/>
      <c r="AG62"/>
      <c r="AH62"/>
      <c r="AI62"/>
    </row>
    <row r="63" spans="1:65">
      <c r="A63" s="31"/>
      <c r="B63" s="25"/>
      <c r="C63" s="25"/>
      <c r="D63" s="25"/>
      <c r="E63" s="25"/>
      <c r="F63" s="25"/>
      <c r="G63" s="25"/>
      <c r="H63" s="25"/>
      <c r="I63" s="25"/>
      <c r="J63" s="25"/>
      <c r="K63" s="25"/>
      <c r="L63" s="25"/>
      <c r="Q63"/>
      <c r="S63"/>
      <c r="U63"/>
      <c r="V63"/>
      <c r="W63"/>
      <c r="X63"/>
      <c r="Y63"/>
      <c r="Z63" s="28"/>
      <c r="AB63"/>
      <c r="AC63"/>
      <c r="AD63"/>
      <c r="AE63"/>
      <c r="AF63"/>
      <c r="AG63"/>
      <c r="AH63"/>
      <c r="AI63"/>
      <c r="AJ63" s="28"/>
      <c r="BD63"/>
      <c r="BE63"/>
      <c r="BG63"/>
    </row>
    <row r="64" spans="1:65">
      <c r="A64" s="31"/>
      <c r="B64" s="25"/>
      <c r="C64" s="25"/>
      <c r="D64" s="25"/>
      <c r="E64" s="25"/>
      <c r="F64" s="25"/>
      <c r="G64" s="25"/>
      <c r="H64" s="25"/>
      <c r="I64" s="25"/>
      <c r="J64" s="25"/>
      <c r="K64" s="25"/>
      <c r="L64" s="25"/>
      <c r="X64"/>
      <c r="Y64"/>
      <c r="AB64"/>
      <c r="AC64"/>
      <c r="AD64"/>
      <c r="AE64"/>
      <c r="AF64"/>
      <c r="AG64"/>
      <c r="AH64"/>
      <c r="AI64"/>
      <c r="AJ64" s="33"/>
      <c r="BD64"/>
      <c r="BF64" s="4"/>
    </row>
    <row r="65" spans="1:59">
      <c r="A65" s="31"/>
      <c r="B65" s="25"/>
      <c r="C65" s="25"/>
      <c r="D65" s="25"/>
      <c r="E65" s="25"/>
      <c r="F65" s="25"/>
      <c r="G65" s="25"/>
      <c r="H65" s="25"/>
      <c r="I65" s="25"/>
      <c r="J65" s="25"/>
      <c r="K65" s="25"/>
      <c r="L65" s="25"/>
      <c r="AB65"/>
      <c r="AC65"/>
      <c r="AD65"/>
      <c r="AE65"/>
      <c r="AF65"/>
      <c r="AG65"/>
      <c r="AH65"/>
      <c r="AI65"/>
      <c r="BD65"/>
      <c r="BF65" s="4"/>
    </row>
    <row r="66" spans="1:59">
      <c r="A66" s="31"/>
      <c r="B66" s="25"/>
      <c r="C66" s="25"/>
      <c r="D66" s="25"/>
      <c r="E66" s="25"/>
      <c r="F66" s="25"/>
      <c r="G66" s="25"/>
      <c r="H66" s="25"/>
      <c r="I66" s="25"/>
      <c r="J66" s="25"/>
      <c r="K66" s="25"/>
      <c r="L66" s="25"/>
      <c r="X66"/>
      <c r="Y66"/>
      <c r="Z66"/>
      <c r="AB66"/>
      <c r="AC66"/>
      <c r="AD66"/>
      <c r="AE66"/>
      <c r="AF66"/>
      <c r="AG66"/>
      <c r="AH66"/>
      <c r="AI66"/>
      <c r="BD66"/>
      <c r="BF66" s="4"/>
    </row>
    <row r="67" spans="1:59">
      <c r="A67" s="31"/>
      <c r="B67" s="25"/>
      <c r="C67" s="25"/>
      <c r="D67" s="25"/>
      <c r="E67" s="25"/>
      <c r="F67" s="25"/>
      <c r="G67" s="25"/>
      <c r="H67" s="25"/>
      <c r="I67" s="25"/>
      <c r="J67" s="25"/>
      <c r="K67" s="25"/>
      <c r="L67" s="25"/>
      <c r="N67"/>
      <c r="R67"/>
      <c r="S67"/>
      <c r="X67"/>
      <c r="Y67"/>
      <c r="Z67"/>
      <c r="AB67"/>
      <c r="AC67"/>
      <c r="AD67"/>
      <c r="AE67"/>
      <c r="AF67"/>
      <c r="AG67"/>
      <c r="AH67"/>
      <c r="AI67"/>
      <c r="BD67"/>
      <c r="BF67" s="4"/>
    </row>
    <row r="68" spans="1:59">
      <c r="A68" s="31"/>
      <c r="B68" s="25"/>
      <c r="C68" s="25"/>
      <c r="D68" s="25"/>
      <c r="E68" s="25"/>
      <c r="F68" s="25"/>
      <c r="G68" s="25"/>
      <c r="H68" s="25"/>
      <c r="I68" s="25"/>
      <c r="J68" s="25"/>
      <c r="K68" s="25"/>
      <c r="L68" s="25"/>
      <c r="AB68"/>
      <c r="AC68"/>
      <c r="AD68"/>
      <c r="AE68"/>
      <c r="AF68"/>
      <c r="AG68"/>
      <c r="AH68"/>
      <c r="AI68"/>
      <c r="BD68"/>
      <c r="BF68" s="4"/>
    </row>
    <row r="69" spans="1:59">
      <c r="A69" s="31"/>
      <c r="AB69"/>
      <c r="AC69"/>
      <c r="AD69"/>
      <c r="AE69"/>
      <c r="AF69"/>
      <c r="AG69"/>
      <c r="AH69"/>
      <c r="AI69"/>
      <c r="AU69" s="34"/>
      <c r="AV69" s="35"/>
      <c r="AW69" s="36"/>
      <c r="BD69"/>
      <c r="BF69" s="4"/>
    </row>
    <row r="70" spans="1:59">
      <c r="A70" s="31"/>
      <c r="N70"/>
      <c r="Z70"/>
      <c r="AB70"/>
      <c r="AC70"/>
      <c r="AD70"/>
      <c r="AE70"/>
      <c r="AF70"/>
      <c r="AG70"/>
      <c r="AH70"/>
      <c r="AI70"/>
      <c r="BD70"/>
      <c r="BF70" s="4"/>
    </row>
    <row r="71" spans="1:59">
      <c r="A71" s="31"/>
      <c r="N71"/>
      <c r="AB71"/>
      <c r="AC71"/>
      <c r="AD71"/>
      <c r="AE71"/>
      <c r="AF71"/>
      <c r="AG71"/>
      <c r="AH71"/>
      <c r="AI71"/>
    </row>
    <row r="72" spans="1:59">
      <c r="A72" s="31"/>
      <c r="N72"/>
      <c r="AB72"/>
      <c r="AC72"/>
      <c r="AD72"/>
      <c r="AE72"/>
      <c r="AF72"/>
      <c r="AG72"/>
      <c r="AH72"/>
      <c r="AI72"/>
    </row>
    <row r="73" spans="1:59">
      <c r="A73" s="31"/>
      <c r="N73"/>
      <c r="AB73"/>
      <c r="AC73"/>
      <c r="AD73"/>
      <c r="AE73"/>
      <c r="AF73"/>
      <c r="AG73"/>
      <c r="AH73"/>
      <c r="AI73"/>
      <c r="BE73"/>
      <c r="BG73"/>
    </row>
    <row r="74" spans="1:59">
      <c r="A74" s="31"/>
      <c r="N74"/>
      <c r="AB74"/>
      <c r="AC74"/>
      <c r="AD74"/>
      <c r="AE74"/>
      <c r="AF74"/>
      <c r="AG74"/>
      <c r="AH74"/>
      <c r="AI74"/>
      <c r="BG74"/>
    </row>
    <row r="75" spans="1:59">
      <c r="A75" s="31"/>
      <c r="N75"/>
      <c r="AB75"/>
      <c r="AC75"/>
      <c r="AD75"/>
      <c r="AE75"/>
      <c r="AF75"/>
      <c r="AG75"/>
      <c r="AH75"/>
      <c r="AI75"/>
      <c r="BG75"/>
    </row>
    <row r="76" spans="1:59">
      <c r="N76" s="28"/>
      <c r="AB76"/>
      <c r="AC76"/>
      <c r="AD76"/>
      <c r="AE76"/>
      <c r="AF76"/>
      <c r="AG76"/>
      <c r="AH76"/>
      <c r="AI76"/>
      <c r="BG76"/>
    </row>
    <row r="77" spans="1:59">
      <c r="AB77"/>
      <c r="AC77"/>
      <c r="AD77"/>
      <c r="AE77"/>
      <c r="AF77"/>
      <c r="AG77"/>
      <c r="AH77"/>
      <c r="AI77"/>
      <c r="BG77"/>
    </row>
    <row r="78" spans="1:59">
      <c r="A78" s="37"/>
      <c r="AB78"/>
      <c r="AC78"/>
      <c r="AD78"/>
      <c r="AE78"/>
      <c r="AF78"/>
      <c r="AG78"/>
      <c r="AH78"/>
      <c r="AI78"/>
    </row>
    <row r="79" spans="1:59">
      <c r="AB79"/>
      <c r="AC79"/>
      <c r="AD79"/>
      <c r="AE79"/>
      <c r="AF79"/>
      <c r="AG79"/>
      <c r="AH79"/>
      <c r="AI79"/>
    </row>
    <row r="80" spans="1:59">
      <c r="A80"/>
      <c r="B80"/>
      <c r="C80"/>
      <c r="D80"/>
      <c r="E80"/>
      <c r="F80"/>
      <c r="G80"/>
      <c r="H80"/>
      <c r="I80"/>
      <c r="J80"/>
      <c r="K80"/>
      <c r="L80"/>
      <c r="AB80"/>
      <c r="AC80"/>
      <c r="AD80"/>
      <c r="AE80"/>
      <c r="AF80"/>
      <c r="AG80"/>
      <c r="AH80"/>
      <c r="AI80"/>
    </row>
    <row r="81" spans="1:57">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row>
    <row r="82" spans="1:57">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row>
    <row r="83" spans="1:57">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row>
    <row r="84" spans="1:57">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row>
    <row r="85" spans="1:57">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row>
    <row r="86" spans="1:57">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row>
    <row r="87" spans="1:57">
      <c r="A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row>
  </sheetData>
  <pageMargins left="0.7" right="0.7" top="0.75" bottom="0.75" header="0.3" footer="0.3"/>
  <drawing r:id="rId1"/>
  <tableParts count="6">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F76F-3E18-4FB6-801A-387E1C7E4AAE}">
  <dimension ref="A1:XFD87"/>
  <sheetViews>
    <sheetView topLeftCell="AO1" zoomScale="56" workbookViewId="0">
      <selection activeCell="I12" sqref="I12"/>
    </sheetView>
  </sheetViews>
  <sheetFormatPr defaultRowHeight="14"/>
  <sheetData>
    <row r="1" spans="1:64 16384:16384" ht="28.5">
      <c r="A1" s="1" t="s">
        <v>0</v>
      </c>
      <c r="B1" s="2"/>
      <c r="C1" s="2"/>
      <c r="D1" s="2"/>
      <c r="E1" s="2"/>
      <c r="F1" s="2"/>
      <c r="G1" s="2"/>
      <c r="H1" s="3"/>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45"/>
      <c r="BG1" s="45"/>
      <c r="BH1" s="45"/>
      <c r="BI1" s="45"/>
      <c r="BJ1" s="45"/>
      <c r="BK1" s="45"/>
      <c r="BL1" s="45"/>
      <c r="XFD1" s="45"/>
    </row>
    <row r="2" spans="1:64 16384:16384" ht="16">
      <c r="A2" s="5" t="s">
        <v>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XFD2" s="5"/>
    </row>
    <row r="3" spans="1:64 16384:16384" ht="16">
      <c r="A3" s="5" t="s">
        <v>2</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XFD3" s="5"/>
    </row>
    <row r="4" spans="1:64 16384:16384" ht="16">
      <c r="A4" s="5" t="s">
        <v>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XFD4" s="5"/>
    </row>
    <row r="5" spans="1:64 16384:16384">
      <c r="A5" s="6" t="s">
        <v>4</v>
      </c>
      <c r="B5" s="6"/>
      <c r="C5" s="7"/>
      <c r="D5" s="7"/>
      <c r="E5" s="7"/>
      <c r="F5" s="7"/>
      <c r="G5" s="7"/>
      <c r="H5" s="8"/>
      <c r="I5" s="8"/>
      <c r="J5" s="7"/>
      <c r="K5" s="8"/>
      <c r="L5" s="8"/>
      <c r="M5" s="9" t="s">
        <v>5</v>
      </c>
      <c r="N5" s="8"/>
      <c r="O5" s="7"/>
      <c r="P5" s="7"/>
      <c r="Q5" s="8"/>
      <c r="R5" s="8"/>
      <c r="S5" s="8"/>
      <c r="T5" s="7"/>
      <c r="U5" s="7"/>
      <c r="V5" s="8"/>
      <c r="W5" s="8"/>
      <c r="X5" s="8"/>
      <c r="Y5" s="8"/>
      <c r="Z5" s="10"/>
      <c r="AA5" s="9" t="s">
        <v>6</v>
      </c>
      <c r="AB5" s="8"/>
      <c r="AC5" s="7"/>
      <c r="AD5" s="7"/>
      <c r="AE5" s="7"/>
      <c r="AF5" s="8"/>
      <c r="AG5" s="8"/>
      <c r="AH5" s="8"/>
      <c r="AI5" s="8"/>
      <c r="AJ5" s="10"/>
      <c r="AK5" s="11" t="s">
        <v>7</v>
      </c>
      <c r="AL5" s="12"/>
      <c r="AM5" s="12"/>
      <c r="AN5" s="12"/>
      <c r="AO5" s="12"/>
      <c r="AP5" s="12"/>
      <c r="AQ5" s="12"/>
      <c r="AR5" s="12"/>
      <c r="AS5" s="13"/>
      <c r="AT5" s="11" t="s">
        <v>8</v>
      </c>
      <c r="AU5" s="8"/>
      <c r="AV5" s="7"/>
      <c r="AW5" s="49"/>
      <c r="AX5" s="7"/>
      <c r="AY5" s="7"/>
      <c r="AZ5" s="49"/>
      <c r="BA5" s="8"/>
      <c r="BB5" s="8"/>
      <c r="BC5" s="7"/>
      <c r="BD5" s="8"/>
      <c r="BE5" s="10"/>
      <c r="BF5" s="11" t="s">
        <v>9</v>
      </c>
      <c r="BG5" s="48"/>
      <c r="BH5" s="50"/>
      <c r="BI5" s="50"/>
      <c r="BJ5" s="50"/>
      <c r="BK5" s="45"/>
      <c r="BL5" s="45"/>
      <c r="XFD5" s="45"/>
    </row>
    <row r="6" spans="1:64 16384:16384" ht="52">
      <c r="A6" s="17" t="s">
        <v>10</v>
      </c>
      <c r="B6" s="17" t="s">
        <v>11</v>
      </c>
      <c r="C6" s="51" t="s">
        <v>12</v>
      </c>
      <c r="D6" s="51" t="s">
        <v>13</v>
      </c>
      <c r="E6" s="17" t="s">
        <v>14</v>
      </c>
      <c r="F6" s="17" t="s">
        <v>15</v>
      </c>
      <c r="G6" s="19" t="s">
        <v>16</v>
      </c>
      <c r="H6" s="17" t="s">
        <v>17</v>
      </c>
      <c r="I6" s="17" t="s">
        <v>18</v>
      </c>
      <c r="J6" s="17" t="s">
        <v>19</v>
      </c>
      <c r="K6" s="17" t="s">
        <v>20</v>
      </c>
      <c r="L6" s="51" t="s">
        <v>21</v>
      </c>
      <c r="M6" s="20" t="s">
        <v>10</v>
      </c>
      <c r="N6" s="17" t="s">
        <v>22</v>
      </c>
      <c r="O6" s="51" t="s">
        <v>23</v>
      </c>
      <c r="P6" s="52" t="s">
        <v>24</v>
      </c>
      <c r="Q6" s="17" t="s">
        <v>25</v>
      </c>
      <c r="R6" s="17" t="s">
        <v>26</v>
      </c>
      <c r="S6" s="17" t="s">
        <v>27</v>
      </c>
      <c r="T6" s="17" t="s">
        <v>28</v>
      </c>
      <c r="U6" s="17" t="s">
        <v>29</v>
      </c>
      <c r="V6" s="17" t="s">
        <v>30</v>
      </c>
      <c r="W6" s="17" t="s">
        <v>31</v>
      </c>
      <c r="X6" s="17" t="s">
        <v>32</v>
      </c>
      <c r="Y6" s="17" t="s">
        <v>33</v>
      </c>
      <c r="Z6" s="22" t="s">
        <v>34</v>
      </c>
      <c r="AA6" s="20" t="s">
        <v>10</v>
      </c>
      <c r="AB6" s="17" t="s">
        <v>11</v>
      </c>
      <c r="AC6" s="51" t="s">
        <v>35</v>
      </c>
      <c r="AD6" s="51" t="s">
        <v>13</v>
      </c>
      <c r="AE6" s="22" t="s">
        <v>36</v>
      </c>
      <c r="AF6" s="17" t="s">
        <v>17</v>
      </c>
      <c r="AG6" s="17" t="s">
        <v>18</v>
      </c>
      <c r="AH6" s="19" t="s">
        <v>19</v>
      </c>
      <c r="AI6" s="17" t="s">
        <v>37</v>
      </c>
      <c r="AJ6" s="22" t="s">
        <v>38</v>
      </c>
      <c r="AK6" s="20" t="s">
        <v>10</v>
      </c>
      <c r="AL6" s="17" t="s">
        <v>11</v>
      </c>
      <c r="AM6" s="51" t="s">
        <v>35</v>
      </c>
      <c r="AN6" s="22" t="s">
        <v>36</v>
      </c>
      <c r="AO6" s="17" t="s">
        <v>17</v>
      </c>
      <c r="AP6" s="17" t="s">
        <v>18</v>
      </c>
      <c r="AQ6" s="19" t="s">
        <v>19</v>
      </c>
      <c r="AR6" s="17" t="s">
        <v>37</v>
      </c>
      <c r="AS6" s="17" t="s">
        <v>38</v>
      </c>
      <c r="AT6" s="20" t="s">
        <v>10</v>
      </c>
      <c r="AU6" s="17" t="s">
        <v>11</v>
      </c>
      <c r="AV6" s="51" t="s">
        <v>35</v>
      </c>
      <c r="AW6" s="51" t="s">
        <v>13</v>
      </c>
      <c r="AX6" s="19" t="s">
        <v>14</v>
      </c>
      <c r="AY6" s="17" t="s">
        <v>15</v>
      </c>
      <c r="AZ6" s="51" t="s">
        <v>39</v>
      </c>
      <c r="BA6" s="17" t="s">
        <v>17</v>
      </c>
      <c r="BB6" s="17" t="s">
        <v>18</v>
      </c>
      <c r="BC6" s="19" t="s">
        <v>19</v>
      </c>
      <c r="BD6" s="17" t="s">
        <v>37</v>
      </c>
      <c r="BE6" s="51" t="s">
        <v>40</v>
      </c>
      <c r="BF6" s="20" t="s">
        <v>10</v>
      </c>
      <c r="BG6" s="53" t="s">
        <v>41</v>
      </c>
      <c r="BH6" s="53" t="s">
        <v>42</v>
      </c>
      <c r="BI6" s="53" t="s">
        <v>43</v>
      </c>
      <c r="BJ6" s="53" t="s">
        <v>44</v>
      </c>
      <c r="BK6" s="45"/>
      <c r="BL6" s="45"/>
      <c r="XFD6" s="45"/>
    </row>
    <row r="7" spans="1:64 16384:16384">
      <c r="A7" s="24">
        <v>1970</v>
      </c>
      <c r="B7" s="25">
        <v>12681</v>
      </c>
      <c r="C7" s="25">
        <v>9655</v>
      </c>
      <c r="D7" s="25">
        <v>209</v>
      </c>
      <c r="E7" s="25">
        <v>1164</v>
      </c>
      <c r="F7" s="25">
        <v>1778</v>
      </c>
      <c r="G7" s="25">
        <v>1788</v>
      </c>
      <c r="H7" s="25">
        <v>6275</v>
      </c>
      <c r="I7" s="25"/>
      <c r="J7" s="26" t="s">
        <v>45</v>
      </c>
      <c r="K7" s="25">
        <v>28397</v>
      </c>
      <c r="L7" s="25">
        <v>62333</v>
      </c>
      <c r="M7" s="27">
        <v>1970</v>
      </c>
      <c r="N7" s="25">
        <v>88</v>
      </c>
      <c r="O7" s="25">
        <v>35</v>
      </c>
      <c r="P7" s="25">
        <v>234</v>
      </c>
      <c r="Q7" s="25">
        <v>1254</v>
      </c>
      <c r="R7" s="26" t="s">
        <v>45</v>
      </c>
      <c r="S7" s="25">
        <v>21406</v>
      </c>
      <c r="T7" s="26" t="s">
        <v>45</v>
      </c>
      <c r="U7" s="26" t="s">
        <v>45</v>
      </c>
      <c r="V7" s="25">
        <v>103</v>
      </c>
      <c r="W7" s="25">
        <v>1184</v>
      </c>
      <c r="X7" s="25">
        <v>3869</v>
      </c>
      <c r="Y7" s="26" t="s">
        <v>45</v>
      </c>
      <c r="Z7" s="25">
        <v>28174</v>
      </c>
      <c r="AA7" s="27">
        <v>1970</v>
      </c>
      <c r="AB7" s="25">
        <v>14242</v>
      </c>
      <c r="AC7" s="25">
        <v>1761</v>
      </c>
      <c r="AD7" s="25">
        <v>1975</v>
      </c>
      <c r="AE7" s="25">
        <v>8922</v>
      </c>
      <c r="AF7" s="25">
        <v>6622</v>
      </c>
      <c r="AG7" s="26" t="s">
        <v>45</v>
      </c>
      <c r="AH7" s="26" t="s">
        <v>45</v>
      </c>
      <c r="AI7" s="25">
        <v>3363</v>
      </c>
      <c r="AJ7" s="25">
        <v>36884</v>
      </c>
      <c r="AK7" s="27">
        <v>1970</v>
      </c>
      <c r="AL7" s="25">
        <v>2723</v>
      </c>
      <c r="AM7" s="25">
        <v>1499</v>
      </c>
      <c r="AN7" s="25">
        <v>1919</v>
      </c>
      <c r="AO7" s="25">
        <v>3408</v>
      </c>
      <c r="AP7" s="26" t="s">
        <v>45</v>
      </c>
      <c r="AQ7" s="26" t="s">
        <v>45</v>
      </c>
      <c r="AR7" s="25">
        <v>9038</v>
      </c>
      <c r="AS7" s="25">
        <v>18586</v>
      </c>
      <c r="AT7" s="27">
        <v>1970</v>
      </c>
      <c r="AU7" s="25">
        <v>29822</v>
      </c>
      <c r="AV7" s="25">
        <v>12950</v>
      </c>
      <c r="AW7" s="25">
        <v>2184</v>
      </c>
      <c r="AX7" s="25">
        <v>1164</v>
      </c>
      <c r="AY7" s="25">
        <v>10746</v>
      </c>
      <c r="AZ7" s="25">
        <v>3662</v>
      </c>
      <c r="BA7" s="25">
        <v>16542</v>
      </c>
      <c r="BB7" s="26" t="s">
        <v>45</v>
      </c>
      <c r="BC7" s="26" t="s">
        <v>45</v>
      </c>
      <c r="BD7" s="25">
        <v>68511</v>
      </c>
      <c r="BE7" s="25">
        <v>145977</v>
      </c>
      <c r="BF7" s="27">
        <v>1970</v>
      </c>
      <c r="BG7" s="47">
        <v>15147.41188547379</v>
      </c>
      <c r="BH7" s="26" t="s">
        <v>45</v>
      </c>
      <c r="BI7" s="47">
        <v>6258.5881145262083</v>
      </c>
      <c r="BJ7" s="26" t="s">
        <v>45</v>
      </c>
      <c r="BK7" s="47"/>
      <c r="BL7" s="47"/>
      <c r="XFD7" s="59"/>
    </row>
    <row r="8" spans="1:64 16384:16384">
      <c r="A8" s="24">
        <v>1971</v>
      </c>
      <c r="B8" s="25">
        <v>10232</v>
      </c>
      <c r="C8" s="25">
        <v>8298</v>
      </c>
      <c r="D8" s="25">
        <v>176</v>
      </c>
      <c r="E8" s="25">
        <v>1118</v>
      </c>
      <c r="F8" s="25">
        <v>1038</v>
      </c>
      <c r="G8" s="25">
        <v>5194</v>
      </c>
      <c r="H8" s="25">
        <v>6313</v>
      </c>
      <c r="I8" s="25"/>
      <c r="J8" s="26" t="s">
        <v>45</v>
      </c>
      <c r="K8" s="25">
        <v>28130</v>
      </c>
      <c r="L8" s="25">
        <v>60746</v>
      </c>
      <c r="M8" s="27">
        <v>1971</v>
      </c>
      <c r="N8" s="25">
        <v>68</v>
      </c>
      <c r="O8" s="25">
        <v>13</v>
      </c>
      <c r="P8" s="25">
        <v>237</v>
      </c>
      <c r="Q8" s="25">
        <v>1186</v>
      </c>
      <c r="R8" s="26" t="s">
        <v>45</v>
      </c>
      <c r="S8" s="25">
        <v>22412</v>
      </c>
      <c r="T8" s="26" t="s">
        <v>45</v>
      </c>
      <c r="U8" s="26" t="s">
        <v>45</v>
      </c>
      <c r="V8" s="25">
        <v>63</v>
      </c>
      <c r="W8" s="25">
        <v>1081</v>
      </c>
      <c r="X8" s="25">
        <v>4247</v>
      </c>
      <c r="Y8" s="26" t="s">
        <v>45</v>
      </c>
      <c r="Z8" s="25">
        <v>29306</v>
      </c>
      <c r="AA8" s="27">
        <v>1971</v>
      </c>
      <c r="AB8" s="25">
        <v>12164</v>
      </c>
      <c r="AC8" s="25">
        <v>1136</v>
      </c>
      <c r="AD8" s="25">
        <v>2156</v>
      </c>
      <c r="AE8" s="25">
        <v>9900</v>
      </c>
      <c r="AF8" s="25">
        <v>6937</v>
      </c>
      <c r="AG8" s="26" t="s">
        <v>45</v>
      </c>
      <c r="AH8" s="26" t="s">
        <v>45</v>
      </c>
      <c r="AI8" s="25">
        <v>3328</v>
      </c>
      <c r="AJ8" s="25">
        <v>35621</v>
      </c>
      <c r="AK8" s="27">
        <v>1971</v>
      </c>
      <c r="AL8" s="25">
        <v>2328</v>
      </c>
      <c r="AM8" s="25">
        <v>688</v>
      </c>
      <c r="AN8" s="25">
        <v>2181</v>
      </c>
      <c r="AO8" s="25">
        <v>3534</v>
      </c>
      <c r="AP8" s="26" t="s">
        <v>45</v>
      </c>
      <c r="AQ8" s="26" t="s">
        <v>45</v>
      </c>
      <c r="AR8" s="25">
        <v>9184</v>
      </c>
      <c r="AS8" s="25">
        <v>17915</v>
      </c>
      <c r="AT8" s="27">
        <v>1971</v>
      </c>
      <c r="AU8" s="25">
        <v>24855</v>
      </c>
      <c r="AV8" s="25">
        <v>10134</v>
      </c>
      <c r="AW8" s="25">
        <v>2333</v>
      </c>
      <c r="AX8" s="25">
        <v>1118</v>
      </c>
      <c r="AY8" s="25">
        <v>8882</v>
      </c>
      <c r="AZ8" s="25">
        <v>9431</v>
      </c>
      <c r="BA8" s="25">
        <v>17021</v>
      </c>
      <c r="BB8" s="26" t="s">
        <v>45</v>
      </c>
      <c r="BC8" s="26" t="s">
        <v>45</v>
      </c>
      <c r="BD8" s="25">
        <v>69568</v>
      </c>
      <c r="BE8" s="25">
        <v>143589</v>
      </c>
      <c r="BF8" s="27">
        <v>1971</v>
      </c>
      <c r="BG8" s="47">
        <v>15941.034568497633</v>
      </c>
      <c r="BH8" s="26" t="s">
        <v>45</v>
      </c>
      <c r="BI8" s="47">
        <v>6470.965431502369</v>
      </c>
      <c r="BJ8" s="26" t="s">
        <v>45</v>
      </c>
      <c r="BK8" s="47"/>
      <c r="BL8" s="47"/>
      <c r="XFD8" s="45"/>
    </row>
    <row r="9" spans="1:64 16384:16384">
      <c r="A9" s="24">
        <v>1972</v>
      </c>
      <c r="B9" s="25">
        <v>7675</v>
      </c>
      <c r="C9" s="25">
        <v>7832</v>
      </c>
      <c r="D9" s="25">
        <v>252</v>
      </c>
      <c r="E9" s="25">
        <v>1111</v>
      </c>
      <c r="F9" s="25">
        <v>1154</v>
      </c>
      <c r="G9" s="25">
        <v>8136</v>
      </c>
      <c r="H9" s="25">
        <v>6292</v>
      </c>
      <c r="I9" s="25"/>
      <c r="J9" s="26" t="s">
        <v>45</v>
      </c>
      <c r="K9" s="25">
        <v>28674</v>
      </c>
      <c r="L9" s="25">
        <v>61307</v>
      </c>
      <c r="M9" s="27">
        <v>1972</v>
      </c>
      <c r="N9" s="25">
        <v>53</v>
      </c>
      <c r="O9" s="25">
        <v>5</v>
      </c>
      <c r="P9" s="25">
        <v>229</v>
      </c>
      <c r="Q9" s="25">
        <v>1121</v>
      </c>
      <c r="R9" s="26" t="s">
        <v>45</v>
      </c>
      <c r="S9" s="25">
        <v>23535</v>
      </c>
      <c r="T9" s="26" t="s">
        <v>45</v>
      </c>
      <c r="U9" s="26" t="s">
        <v>45</v>
      </c>
      <c r="V9" s="25">
        <v>23</v>
      </c>
      <c r="W9" s="25">
        <v>962</v>
      </c>
      <c r="X9" s="25">
        <v>4514</v>
      </c>
      <c r="Y9" s="26" t="s">
        <v>45</v>
      </c>
      <c r="Z9" s="25">
        <v>30442</v>
      </c>
      <c r="AA9" s="27">
        <v>1972</v>
      </c>
      <c r="AB9" s="25">
        <v>10602</v>
      </c>
      <c r="AC9" s="25">
        <v>849</v>
      </c>
      <c r="AD9" s="25">
        <v>2144</v>
      </c>
      <c r="AE9" s="25">
        <v>11359</v>
      </c>
      <c r="AF9" s="25">
        <v>7471</v>
      </c>
      <c r="AG9" s="26" t="s">
        <v>45</v>
      </c>
      <c r="AH9" s="26" t="s">
        <v>45</v>
      </c>
      <c r="AI9" s="25">
        <v>3836</v>
      </c>
      <c r="AJ9" s="25">
        <v>36261</v>
      </c>
      <c r="AK9" s="27">
        <v>1972</v>
      </c>
      <c r="AL9" s="25">
        <v>2013</v>
      </c>
      <c r="AM9" s="25">
        <v>537</v>
      </c>
      <c r="AN9" s="25">
        <v>2509</v>
      </c>
      <c r="AO9" s="25">
        <v>3650</v>
      </c>
      <c r="AP9" s="26" t="s">
        <v>45</v>
      </c>
      <c r="AQ9" s="26" t="s">
        <v>45</v>
      </c>
      <c r="AR9" s="25">
        <v>9487</v>
      </c>
      <c r="AS9" s="25">
        <v>18195</v>
      </c>
      <c r="AT9" s="27">
        <v>1972</v>
      </c>
      <c r="AU9" s="25">
        <v>20366</v>
      </c>
      <c r="AV9" s="25">
        <v>9222</v>
      </c>
      <c r="AW9" s="25">
        <v>2396</v>
      </c>
      <c r="AX9" s="25">
        <v>1111</v>
      </c>
      <c r="AY9" s="25">
        <v>8094</v>
      </c>
      <c r="AZ9" s="25">
        <v>15063</v>
      </c>
      <c r="BA9" s="25">
        <v>17643</v>
      </c>
      <c r="BB9" s="26" t="s">
        <v>45</v>
      </c>
      <c r="BC9" s="26" t="s">
        <v>45</v>
      </c>
      <c r="BD9" s="25">
        <v>72129</v>
      </c>
      <c r="BE9" s="25">
        <v>146205</v>
      </c>
      <c r="BF9" s="27">
        <v>1972</v>
      </c>
      <c r="BG9" s="47">
        <v>16919.061215903908</v>
      </c>
      <c r="BH9" s="26" t="s">
        <v>45</v>
      </c>
      <c r="BI9" s="47">
        <v>6615.938784096089</v>
      </c>
      <c r="BJ9" s="26" t="s">
        <v>45</v>
      </c>
      <c r="BK9" s="47"/>
      <c r="BL9" s="47"/>
      <c r="XFD9" s="45"/>
    </row>
    <row r="10" spans="1:64 16384:16384">
      <c r="A10" s="24">
        <v>1973</v>
      </c>
      <c r="B10" s="25">
        <v>7950</v>
      </c>
      <c r="C10" s="25">
        <v>8340</v>
      </c>
      <c r="D10" s="25">
        <v>226</v>
      </c>
      <c r="E10" s="25">
        <v>1290</v>
      </c>
      <c r="F10" s="25">
        <v>788</v>
      </c>
      <c r="G10" s="25">
        <v>10791</v>
      </c>
      <c r="H10" s="25">
        <v>6884</v>
      </c>
      <c r="I10" s="25"/>
      <c r="J10" s="26" t="s">
        <v>45</v>
      </c>
      <c r="K10" s="25">
        <v>28691</v>
      </c>
      <c r="L10" s="25">
        <v>65149</v>
      </c>
      <c r="M10" s="27">
        <v>1973</v>
      </c>
      <c r="N10" s="25">
        <v>58</v>
      </c>
      <c r="O10" s="25">
        <v>0</v>
      </c>
      <c r="P10" s="25">
        <v>224</v>
      </c>
      <c r="Q10" s="25">
        <v>1123</v>
      </c>
      <c r="R10" s="26" t="s">
        <v>45</v>
      </c>
      <c r="S10" s="25">
        <v>25125</v>
      </c>
      <c r="T10" s="26" t="s">
        <v>45</v>
      </c>
      <c r="U10" s="26" t="s">
        <v>45</v>
      </c>
      <c r="V10" s="25">
        <v>10</v>
      </c>
      <c r="W10" s="25">
        <v>1088</v>
      </c>
      <c r="X10" s="25">
        <v>4806</v>
      </c>
      <c r="Y10" s="26" t="s">
        <v>45</v>
      </c>
      <c r="Z10" s="25">
        <v>32435</v>
      </c>
      <c r="AA10" s="27">
        <v>1973</v>
      </c>
      <c r="AB10" s="25">
        <v>10565</v>
      </c>
      <c r="AC10" s="25">
        <v>778</v>
      </c>
      <c r="AD10" s="25">
        <v>2053</v>
      </c>
      <c r="AE10" s="25">
        <v>12129</v>
      </c>
      <c r="AF10" s="25">
        <v>7849</v>
      </c>
      <c r="AG10" s="26" t="s">
        <v>45</v>
      </c>
      <c r="AH10" s="26" t="s">
        <v>45</v>
      </c>
      <c r="AI10" s="25">
        <v>4202</v>
      </c>
      <c r="AJ10" s="25">
        <v>37576</v>
      </c>
      <c r="AK10" s="27">
        <v>1973</v>
      </c>
      <c r="AL10" s="25">
        <v>1731</v>
      </c>
      <c r="AM10" s="25">
        <v>602</v>
      </c>
      <c r="AN10" s="25">
        <v>2728</v>
      </c>
      <c r="AO10" s="25">
        <v>3940</v>
      </c>
      <c r="AP10" s="26" t="s">
        <v>45</v>
      </c>
      <c r="AQ10" s="26" t="s">
        <v>45</v>
      </c>
      <c r="AR10" s="25">
        <v>9585</v>
      </c>
      <c r="AS10" s="25">
        <v>18586</v>
      </c>
      <c r="AT10" s="27">
        <v>1973</v>
      </c>
      <c r="AU10" s="25">
        <v>20313</v>
      </c>
      <c r="AV10" s="25">
        <v>9721</v>
      </c>
      <c r="AW10" s="25">
        <v>2280</v>
      </c>
      <c r="AX10" s="25">
        <v>1290</v>
      </c>
      <c r="AY10" s="25">
        <v>5852</v>
      </c>
      <c r="AZ10" s="25">
        <v>20584</v>
      </c>
      <c r="BA10" s="25">
        <v>18898</v>
      </c>
      <c r="BB10" s="26" t="s">
        <v>45</v>
      </c>
      <c r="BC10" s="26" t="s">
        <v>45</v>
      </c>
      <c r="BD10" s="25">
        <v>74620</v>
      </c>
      <c r="BE10" s="25">
        <v>153744</v>
      </c>
      <c r="BF10" s="27">
        <v>1973</v>
      </c>
      <c r="BG10" s="47">
        <v>18013.371621770315</v>
      </c>
      <c r="BH10" s="26" t="s">
        <v>45</v>
      </c>
      <c r="BI10" s="47">
        <v>7111.6283782296869</v>
      </c>
      <c r="BJ10" s="26" t="s">
        <v>45</v>
      </c>
      <c r="BK10" s="47"/>
      <c r="BL10" s="47"/>
      <c r="XFD10" s="45"/>
    </row>
    <row r="11" spans="1:64 16384:16384">
      <c r="A11" s="24">
        <v>1974</v>
      </c>
      <c r="B11" s="25">
        <v>7290</v>
      </c>
      <c r="C11" s="25">
        <v>7167</v>
      </c>
      <c r="D11" s="25">
        <v>201</v>
      </c>
      <c r="E11" s="25">
        <v>975</v>
      </c>
      <c r="F11" s="25">
        <v>494</v>
      </c>
      <c r="G11" s="25">
        <v>12320</v>
      </c>
      <c r="H11" s="25">
        <v>6517</v>
      </c>
      <c r="I11" s="25"/>
      <c r="J11" s="26" t="s">
        <v>45</v>
      </c>
      <c r="K11" s="25">
        <v>24968</v>
      </c>
      <c r="L11" s="25">
        <v>60058</v>
      </c>
      <c r="M11" s="27">
        <v>1974</v>
      </c>
      <c r="N11" s="25">
        <v>50</v>
      </c>
      <c r="O11" s="25">
        <v>0</v>
      </c>
      <c r="P11" s="25">
        <v>234</v>
      </c>
      <c r="Q11" s="25">
        <v>1048</v>
      </c>
      <c r="R11" s="26" t="s">
        <v>45</v>
      </c>
      <c r="S11" s="25">
        <v>24465</v>
      </c>
      <c r="T11" s="26" t="s">
        <v>45</v>
      </c>
      <c r="U11" s="26" t="s">
        <v>45</v>
      </c>
      <c r="V11" s="25">
        <v>10</v>
      </c>
      <c r="W11" s="25">
        <v>1239</v>
      </c>
      <c r="X11" s="25">
        <v>4219</v>
      </c>
      <c r="Y11" s="26" t="s">
        <v>45</v>
      </c>
      <c r="Z11" s="25">
        <v>31266</v>
      </c>
      <c r="AA11" s="27">
        <v>1974</v>
      </c>
      <c r="AB11" s="25">
        <v>9968</v>
      </c>
      <c r="AC11" s="25">
        <v>821</v>
      </c>
      <c r="AD11" s="25">
        <v>1955</v>
      </c>
      <c r="AE11" s="25">
        <v>13562</v>
      </c>
      <c r="AF11" s="25">
        <v>7963</v>
      </c>
      <c r="AG11" s="26" t="s">
        <v>45</v>
      </c>
      <c r="AH11" s="26" t="s">
        <v>45</v>
      </c>
      <c r="AI11" s="25">
        <v>3733</v>
      </c>
      <c r="AJ11" s="25">
        <v>38002</v>
      </c>
      <c r="AK11" s="27">
        <v>1974</v>
      </c>
      <c r="AL11" s="25">
        <v>1685</v>
      </c>
      <c r="AM11" s="25">
        <v>567</v>
      </c>
      <c r="AN11" s="25">
        <v>3197</v>
      </c>
      <c r="AO11" s="25">
        <v>3642</v>
      </c>
      <c r="AP11" s="26" t="s">
        <v>45</v>
      </c>
      <c r="AQ11" s="26" t="s">
        <v>45</v>
      </c>
      <c r="AR11" s="25">
        <v>8401</v>
      </c>
      <c r="AS11" s="25">
        <v>17492</v>
      </c>
      <c r="AT11" s="27">
        <v>1974</v>
      </c>
      <c r="AU11" s="25">
        <v>19003</v>
      </c>
      <c r="AV11" s="25">
        <v>8555</v>
      </c>
      <c r="AW11" s="25">
        <v>2156</v>
      </c>
      <c r="AX11" s="25">
        <v>975</v>
      </c>
      <c r="AY11" s="25">
        <v>3836</v>
      </c>
      <c r="AZ11" s="25">
        <v>25736</v>
      </c>
      <c r="BA11" s="25">
        <v>18356</v>
      </c>
      <c r="BB11" s="26" t="s">
        <v>45</v>
      </c>
      <c r="BC11" s="26" t="s">
        <v>45</v>
      </c>
      <c r="BD11" s="25">
        <v>68072</v>
      </c>
      <c r="BE11" s="25">
        <v>146818</v>
      </c>
      <c r="BF11" s="27">
        <v>1974</v>
      </c>
      <c r="BG11" s="47">
        <v>17412.210005188092</v>
      </c>
      <c r="BH11" s="26" t="s">
        <v>45</v>
      </c>
      <c r="BI11" s="47">
        <v>7052.7899948119066</v>
      </c>
      <c r="BJ11" s="26" t="s">
        <v>45</v>
      </c>
      <c r="BK11" s="47"/>
      <c r="BL11" s="47"/>
      <c r="XFD11" s="45"/>
    </row>
    <row r="12" spans="1:64 16384:16384">
      <c r="A12" s="24">
        <v>1975</v>
      </c>
      <c r="B12" s="25">
        <v>6373</v>
      </c>
      <c r="C12" s="25">
        <v>6338</v>
      </c>
      <c r="D12" s="25">
        <v>199</v>
      </c>
      <c r="E12" s="25">
        <v>1038</v>
      </c>
      <c r="F12" s="25">
        <v>222</v>
      </c>
      <c r="G12" s="25">
        <v>12555</v>
      </c>
      <c r="H12" s="25">
        <v>6479</v>
      </c>
      <c r="I12" s="25"/>
      <c r="J12" s="26" t="s">
        <v>45</v>
      </c>
      <c r="K12" s="25">
        <v>22145</v>
      </c>
      <c r="L12" s="25">
        <v>55444</v>
      </c>
      <c r="M12" s="27">
        <v>1975</v>
      </c>
      <c r="N12" s="25">
        <v>40</v>
      </c>
      <c r="O12" s="25">
        <v>0</v>
      </c>
      <c r="P12" s="25">
        <v>249</v>
      </c>
      <c r="Q12" s="25">
        <v>1000</v>
      </c>
      <c r="R12" s="26" t="s">
        <v>45</v>
      </c>
      <c r="S12" s="25">
        <v>23948</v>
      </c>
      <c r="T12" s="26" t="s">
        <v>45</v>
      </c>
      <c r="U12" s="26" t="s">
        <v>45</v>
      </c>
      <c r="V12" s="25">
        <v>8</v>
      </c>
      <c r="W12" s="25">
        <v>1300</v>
      </c>
      <c r="X12" s="25">
        <v>4340</v>
      </c>
      <c r="Y12" s="26" t="s">
        <v>45</v>
      </c>
      <c r="Z12" s="25">
        <v>30885</v>
      </c>
      <c r="AA12" s="27">
        <v>1975</v>
      </c>
      <c r="AB12" s="25">
        <v>8517</v>
      </c>
      <c r="AC12" s="25">
        <v>645</v>
      </c>
      <c r="AD12" s="25">
        <v>1778</v>
      </c>
      <c r="AE12" s="25">
        <v>14840</v>
      </c>
      <c r="AF12" s="25">
        <v>7670</v>
      </c>
      <c r="AG12" s="26" t="s">
        <v>45</v>
      </c>
      <c r="AH12" s="26" t="s">
        <v>45</v>
      </c>
      <c r="AI12" s="25">
        <v>3612</v>
      </c>
      <c r="AJ12" s="25">
        <v>37062</v>
      </c>
      <c r="AK12" s="27">
        <v>1975</v>
      </c>
      <c r="AL12" s="25">
        <v>1234</v>
      </c>
      <c r="AM12" s="25">
        <v>408</v>
      </c>
      <c r="AN12" s="25">
        <v>3393</v>
      </c>
      <c r="AO12" s="25">
        <v>3894</v>
      </c>
      <c r="AP12" s="26" t="s">
        <v>45</v>
      </c>
      <c r="AQ12" s="26" t="s">
        <v>45</v>
      </c>
      <c r="AR12" s="25">
        <v>8431</v>
      </c>
      <c r="AS12" s="25">
        <v>17360</v>
      </c>
      <c r="AT12" s="27">
        <v>1975</v>
      </c>
      <c r="AU12" s="25">
        <v>16172</v>
      </c>
      <c r="AV12" s="25">
        <v>7391</v>
      </c>
      <c r="AW12" s="25">
        <v>1977</v>
      </c>
      <c r="AX12" s="25">
        <v>1038</v>
      </c>
      <c r="AY12" s="25">
        <v>1796</v>
      </c>
      <c r="AZ12" s="25">
        <v>29212</v>
      </c>
      <c r="BA12" s="25">
        <v>18293</v>
      </c>
      <c r="BB12" s="26" t="s">
        <v>45</v>
      </c>
      <c r="BC12" s="26" t="s">
        <v>45</v>
      </c>
      <c r="BD12" s="25">
        <v>64776</v>
      </c>
      <c r="BE12" s="25">
        <v>140751</v>
      </c>
      <c r="BF12" s="27">
        <v>1975</v>
      </c>
      <c r="BG12" s="47">
        <v>17062.250193118783</v>
      </c>
      <c r="BH12" s="26" t="s">
        <v>45</v>
      </c>
      <c r="BI12" s="47">
        <v>6885.7498068812183</v>
      </c>
      <c r="BJ12" s="26" t="s">
        <v>45</v>
      </c>
      <c r="BK12" s="47"/>
      <c r="BL12" s="47"/>
      <c r="XFD12" s="45"/>
    </row>
    <row r="13" spans="1:64 16384:16384">
      <c r="A13" s="24">
        <v>1976</v>
      </c>
      <c r="B13" s="25">
        <v>5902</v>
      </c>
      <c r="C13" s="25">
        <v>7129</v>
      </c>
      <c r="D13" s="25">
        <v>131</v>
      </c>
      <c r="E13" s="25">
        <v>1091</v>
      </c>
      <c r="F13" s="25">
        <v>68</v>
      </c>
      <c r="G13" s="25">
        <v>14237</v>
      </c>
      <c r="H13" s="25">
        <v>6950</v>
      </c>
      <c r="I13" s="25"/>
      <c r="J13" s="26" t="s">
        <v>45</v>
      </c>
      <c r="K13" s="25">
        <v>21966</v>
      </c>
      <c r="L13" s="25">
        <v>57584</v>
      </c>
      <c r="M13" s="27">
        <v>1976</v>
      </c>
      <c r="N13" s="25">
        <v>43</v>
      </c>
      <c r="O13" s="25">
        <v>3</v>
      </c>
      <c r="P13" s="25">
        <v>247</v>
      </c>
      <c r="Q13" s="25">
        <v>945</v>
      </c>
      <c r="R13" s="26" t="s">
        <v>45</v>
      </c>
      <c r="S13" s="25">
        <v>24994</v>
      </c>
      <c r="T13" s="26" t="s">
        <v>45</v>
      </c>
      <c r="U13" s="26" t="s">
        <v>45</v>
      </c>
      <c r="V13" s="25">
        <v>8</v>
      </c>
      <c r="W13" s="25">
        <v>1317</v>
      </c>
      <c r="X13" s="25">
        <v>4476</v>
      </c>
      <c r="Y13" s="26" t="s">
        <v>45</v>
      </c>
      <c r="Z13" s="25">
        <v>32032</v>
      </c>
      <c r="AA13" s="27">
        <v>1976</v>
      </c>
      <c r="AB13" s="25">
        <v>7910</v>
      </c>
      <c r="AC13" s="25">
        <v>549</v>
      </c>
      <c r="AD13" s="25">
        <v>1640</v>
      </c>
      <c r="AE13" s="25">
        <v>15602</v>
      </c>
      <c r="AF13" s="25">
        <v>7318</v>
      </c>
      <c r="AG13" s="26" t="s">
        <v>45</v>
      </c>
      <c r="AH13" s="26" t="s">
        <v>45</v>
      </c>
      <c r="AI13" s="25">
        <v>3615</v>
      </c>
      <c r="AJ13" s="25">
        <v>36634</v>
      </c>
      <c r="AK13" s="27">
        <v>1976</v>
      </c>
      <c r="AL13" s="25">
        <v>1300</v>
      </c>
      <c r="AM13" s="25">
        <v>335</v>
      </c>
      <c r="AN13" s="25">
        <v>3831</v>
      </c>
      <c r="AO13" s="25">
        <v>4023</v>
      </c>
      <c r="AP13" s="26" t="s">
        <v>45</v>
      </c>
      <c r="AQ13" s="26" t="s">
        <v>45</v>
      </c>
      <c r="AR13" s="25">
        <v>8668</v>
      </c>
      <c r="AS13" s="25">
        <v>18157</v>
      </c>
      <c r="AT13" s="27">
        <v>1976</v>
      </c>
      <c r="AU13" s="25">
        <v>15162</v>
      </c>
      <c r="AV13" s="25">
        <v>8016</v>
      </c>
      <c r="AW13" s="25">
        <v>1771</v>
      </c>
      <c r="AX13" s="25">
        <v>1091</v>
      </c>
      <c r="AY13" s="25">
        <v>534</v>
      </c>
      <c r="AZ13" s="25">
        <v>33204</v>
      </c>
      <c r="BA13" s="25">
        <v>18537</v>
      </c>
      <c r="BB13" s="26" t="s">
        <v>45</v>
      </c>
      <c r="BC13" s="26" t="s">
        <v>45</v>
      </c>
      <c r="BD13" s="25">
        <v>65981</v>
      </c>
      <c r="BE13" s="25">
        <v>144407</v>
      </c>
      <c r="BF13" s="27">
        <v>1976</v>
      </c>
      <c r="BG13" s="47">
        <v>17880.013280179908</v>
      </c>
      <c r="BH13" s="26" t="s">
        <v>45</v>
      </c>
      <c r="BI13" s="47">
        <v>7113.9867198200918</v>
      </c>
      <c r="BJ13" s="26" t="s">
        <v>45</v>
      </c>
      <c r="BK13" s="47"/>
      <c r="BL13" s="47"/>
      <c r="XFD13" s="45"/>
    </row>
    <row r="14" spans="1:64 16384:16384">
      <c r="A14" s="24">
        <v>1977</v>
      </c>
      <c r="B14" s="25">
        <v>5947</v>
      </c>
      <c r="C14" s="25">
        <v>6368</v>
      </c>
      <c r="D14" s="25">
        <v>158</v>
      </c>
      <c r="E14" s="25">
        <v>1010</v>
      </c>
      <c r="F14" s="25">
        <v>30</v>
      </c>
      <c r="G14" s="25">
        <v>14940</v>
      </c>
      <c r="H14" s="25">
        <v>7053</v>
      </c>
      <c r="I14" s="25"/>
      <c r="J14" s="26" t="s">
        <v>45</v>
      </c>
      <c r="K14" s="25">
        <v>21978</v>
      </c>
      <c r="L14" s="25">
        <v>57574</v>
      </c>
      <c r="M14" s="27">
        <v>1977</v>
      </c>
      <c r="N14" s="25">
        <v>40</v>
      </c>
      <c r="O14" s="25">
        <v>3</v>
      </c>
      <c r="P14" s="25">
        <v>252</v>
      </c>
      <c r="Q14" s="25">
        <v>950</v>
      </c>
      <c r="R14" s="26" t="s">
        <v>45</v>
      </c>
      <c r="S14" s="25">
        <v>25633</v>
      </c>
      <c r="T14" s="26" t="s">
        <v>45</v>
      </c>
      <c r="U14" s="26" t="s">
        <v>45</v>
      </c>
      <c r="V14" s="25">
        <v>8</v>
      </c>
      <c r="W14" s="25">
        <v>1312</v>
      </c>
      <c r="X14" s="25">
        <v>4678</v>
      </c>
      <c r="Y14" s="26" t="s">
        <v>45</v>
      </c>
      <c r="Z14" s="25">
        <v>32875</v>
      </c>
      <c r="AA14" s="27">
        <v>1977</v>
      </c>
      <c r="AB14" s="25">
        <v>8136</v>
      </c>
      <c r="AC14" s="25">
        <v>534</v>
      </c>
      <c r="AD14" s="25">
        <v>1589</v>
      </c>
      <c r="AE14" s="25">
        <v>16600</v>
      </c>
      <c r="AF14" s="25">
        <v>7386</v>
      </c>
      <c r="AG14" s="26" t="s">
        <v>45</v>
      </c>
      <c r="AH14" s="26" t="s">
        <v>45</v>
      </c>
      <c r="AI14" s="25">
        <v>3653</v>
      </c>
      <c r="AJ14" s="25">
        <v>37898</v>
      </c>
      <c r="AK14" s="27">
        <v>1977</v>
      </c>
      <c r="AL14" s="25">
        <v>1370</v>
      </c>
      <c r="AM14" s="25">
        <v>315</v>
      </c>
      <c r="AN14" s="25">
        <v>3998</v>
      </c>
      <c r="AO14" s="25">
        <v>4257</v>
      </c>
      <c r="AP14" s="26" t="s">
        <v>45</v>
      </c>
      <c r="AQ14" s="26" t="s">
        <v>45</v>
      </c>
      <c r="AR14" s="25">
        <v>9157</v>
      </c>
      <c r="AS14" s="25">
        <v>19097</v>
      </c>
      <c r="AT14" s="27">
        <v>1977</v>
      </c>
      <c r="AU14" s="25">
        <v>15502</v>
      </c>
      <c r="AV14" s="25">
        <v>7220</v>
      </c>
      <c r="AW14" s="25">
        <v>1748</v>
      </c>
      <c r="AX14" s="25">
        <v>1010</v>
      </c>
      <c r="AY14" s="25">
        <v>174</v>
      </c>
      <c r="AZ14" s="25">
        <v>35393</v>
      </c>
      <c r="BA14" s="25">
        <v>18948</v>
      </c>
      <c r="BB14" s="26" t="s">
        <v>45</v>
      </c>
      <c r="BC14" s="26" t="s">
        <v>45</v>
      </c>
      <c r="BD14" s="25">
        <v>67361</v>
      </c>
      <c r="BE14" s="25">
        <v>147444</v>
      </c>
      <c r="BF14" s="27">
        <v>1977</v>
      </c>
      <c r="BG14" s="47">
        <v>18372.744960564585</v>
      </c>
      <c r="BH14" s="26" t="s">
        <v>45</v>
      </c>
      <c r="BI14" s="47">
        <v>7260.255039435413</v>
      </c>
      <c r="BJ14" s="26" t="s">
        <v>45</v>
      </c>
      <c r="BK14" s="47"/>
      <c r="BL14" s="47"/>
      <c r="XFD14" s="45"/>
    </row>
    <row r="15" spans="1:64 16384:16384">
      <c r="A15" s="24">
        <v>1978</v>
      </c>
      <c r="B15" s="25">
        <v>5627</v>
      </c>
      <c r="C15" s="25">
        <v>5932</v>
      </c>
      <c r="D15" s="25">
        <v>179</v>
      </c>
      <c r="E15" s="25">
        <v>899</v>
      </c>
      <c r="F15" s="25">
        <v>15</v>
      </c>
      <c r="G15" s="25">
        <v>15149</v>
      </c>
      <c r="H15" s="25">
        <v>7222</v>
      </c>
      <c r="I15" s="25"/>
      <c r="J15" s="26" t="s">
        <v>45</v>
      </c>
      <c r="K15" s="25">
        <v>21570</v>
      </c>
      <c r="L15" s="25">
        <v>56673</v>
      </c>
      <c r="M15" s="27">
        <v>1978</v>
      </c>
      <c r="N15" s="25">
        <v>45</v>
      </c>
      <c r="O15" s="25">
        <v>3</v>
      </c>
      <c r="P15" s="25">
        <v>254</v>
      </c>
      <c r="Q15" s="25">
        <v>967</v>
      </c>
      <c r="R15" s="26" t="s">
        <v>45</v>
      </c>
      <c r="S15" s="25">
        <v>26946</v>
      </c>
      <c r="T15" s="26" t="s">
        <v>45</v>
      </c>
      <c r="U15" s="26" t="s">
        <v>45</v>
      </c>
      <c r="V15" s="25">
        <v>5</v>
      </c>
      <c r="W15" s="25">
        <v>1300</v>
      </c>
      <c r="X15" s="25">
        <v>5051</v>
      </c>
      <c r="Y15" s="26" t="s">
        <v>45</v>
      </c>
      <c r="Z15" s="25">
        <v>34571</v>
      </c>
      <c r="AA15" s="27">
        <v>1978</v>
      </c>
      <c r="AB15" s="25">
        <v>7476</v>
      </c>
      <c r="AC15" s="25">
        <v>471</v>
      </c>
      <c r="AD15" s="25">
        <v>1464</v>
      </c>
      <c r="AE15" s="25">
        <v>18291</v>
      </c>
      <c r="AF15" s="25">
        <v>7378</v>
      </c>
      <c r="AG15" s="26" t="s">
        <v>45</v>
      </c>
      <c r="AH15" s="26" t="s">
        <v>45</v>
      </c>
      <c r="AI15" s="25">
        <v>3610</v>
      </c>
      <c r="AJ15" s="25">
        <v>38689</v>
      </c>
      <c r="AK15" s="27">
        <v>1978</v>
      </c>
      <c r="AL15" s="25">
        <v>1300</v>
      </c>
      <c r="AM15" s="25">
        <v>275</v>
      </c>
      <c r="AN15" s="25">
        <v>4393</v>
      </c>
      <c r="AO15" s="25">
        <v>4481</v>
      </c>
      <c r="AP15" s="26" t="s">
        <v>45</v>
      </c>
      <c r="AQ15" s="26" t="s">
        <v>45</v>
      </c>
      <c r="AR15" s="25">
        <v>8764</v>
      </c>
      <c r="AS15" s="25">
        <v>19213</v>
      </c>
      <c r="AT15" s="27">
        <v>1978</v>
      </c>
      <c r="AU15" s="25">
        <v>14454</v>
      </c>
      <c r="AV15" s="25">
        <v>6681</v>
      </c>
      <c r="AW15" s="25">
        <v>1642</v>
      </c>
      <c r="AX15" s="25">
        <v>899</v>
      </c>
      <c r="AY15" s="25">
        <v>81</v>
      </c>
      <c r="AZ15" s="25">
        <v>37766</v>
      </c>
      <c r="BA15" s="25">
        <v>19336</v>
      </c>
      <c r="BB15" s="26" t="s">
        <v>45</v>
      </c>
      <c r="BC15" s="26" t="s">
        <v>45</v>
      </c>
      <c r="BD15" s="25">
        <v>68208</v>
      </c>
      <c r="BE15" s="25">
        <v>149146</v>
      </c>
      <c r="BF15" s="27">
        <v>1978</v>
      </c>
      <c r="BG15" s="47">
        <v>19446.670337488227</v>
      </c>
      <c r="BH15" s="26" t="s">
        <v>45</v>
      </c>
      <c r="BI15" s="47">
        <v>7499.3296625117746</v>
      </c>
      <c r="BJ15" s="26" t="s">
        <v>45</v>
      </c>
      <c r="BK15" s="47"/>
      <c r="BL15" s="47"/>
      <c r="XFD15" s="45"/>
    </row>
    <row r="16" spans="1:64 16384:16384">
      <c r="A16" s="24">
        <v>1979</v>
      </c>
      <c r="B16" s="25">
        <v>6081</v>
      </c>
      <c r="C16" s="25">
        <v>6512</v>
      </c>
      <c r="D16" s="25">
        <v>148</v>
      </c>
      <c r="E16" s="25">
        <v>977</v>
      </c>
      <c r="F16" s="25">
        <v>18</v>
      </c>
      <c r="G16" s="25">
        <v>15663</v>
      </c>
      <c r="H16" s="25">
        <v>7527</v>
      </c>
      <c r="I16" s="25"/>
      <c r="J16" s="26" t="s">
        <v>45</v>
      </c>
      <c r="K16" s="25">
        <v>21590</v>
      </c>
      <c r="L16" s="25">
        <v>58564</v>
      </c>
      <c r="M16" s="27">
        <v>1979</v>
      </c>
      <c r="N16" s="25">
        <v>43</v>
      </c>
      <c r="O16" s="25">
        <v>3</v>
      </c>
      <c r="P16" s="25">
        <v>254</v>
      </c>
      <c r="Q16" s="25">
        <v>947</v>
      </c>
      <c r="R16" s="26" t="s">
        <v>45</v>
      </c>
      <c r="S16" s="25">
        <v>27520</v>
      </c>
      <c r="T16" s="26" t="s">
        <v>45</v>
      </c>
      <c r="U16" s="26" t="s">
        <v>45</v>
      </c>
      <c r="V16" s="25">
        <v>5</v>
      </c>
      <c r="W16" s="25">
        <v>1363</v>
      </c>
      <c r="X16" s="25">
        <v>5224</v>
      </c>
      <c r="Y16" s="26" t="s">
        <v>45</v>
      </c>
      <c r="Z16" s="25">
        <v>35359</v>
      </c>
      <c r="AA16" s="27">
        <v>1979</v>
      </c>
      <c r="AB16" s="25">
        <v>7688</v>
      </c>
      <c r="AC16" s="25">
        <v>479</v>
      </c>
      <c r="AD16" s="25">
        <v>1431</v>
      </c>
      <c r="AE16" s="25">
        <v>20718</v>
      </c>
      <c r="AF16" s="25">
        <v>7711</v>
      </c>
      <c r="AG16" s="26" t="s">
        <v>45</v>
      </c>
      <c r="AH16" s="26" t="s">
        <v>45</v>
      </c>
      <c r="AI16" s="25">
        <v>3539</v>
      </c>
      <c r="AJ16" s="25">
        <v>41566</v>
      </c>
      <c r="AK16" s="27">
        <v>1979</v>
      </c>
      <c r="AL16" s="25">
        <v>1307</v>
      </c>
      <c r="AM16" s="25">
        <v>285</v>
      </c>
      <c r="AN16" s="25">
        <v>4955</v>
      </c>
      <c r="AO16" s="25">
        <v>4731</v>
      </c>
      <c r="AP16" s="26" t="s">
        <v>45</v>
      </c>
      <c r="AQ16" s="26" t="s">
        <v>45</v>
      </c>
      <c r="AR16" s="25">
        <v>8754</v>
      </c>
      <c r="AS16" s="25">
        <v>20031</v>
      </c>
      <c r="AT16" s="27">
        <v>1979</v>
      </c>
      <c r="AU16" s="25">
        <v>15124</v>
      </c>
      <c r="AV16" s="25">
        <v>7279</v>
      </c>
      <c r="AW16" s="25">
        <v>1579</v>
      </c>
      <c r="AX16" s="25">
        <v>977</v>
      </c>
      <c r="AY16" s="25">
        <v>91</v>
      </c>
      <c r="AZ16" s="25">
        <v>41262</v>
      </c>
      <c r="BA16" s="25">
        <v>20223</v>
      </c>
      <c r="BB16" s="26" t="s">
        <v>45</v>
      </c>
      <c r="BC16" s="26" t="s">
        <v>45</v>
      </c>
      <c r="BD16" s="25">
        <v>68937</v>
      </c>
      <c r="BE16" s="25">
        <v>155521</v>
      </c>
      <c r="BF16" s="27">
        <v>1979</v>
      </c>
      <c r="BG16" s="47">
        <v>19824.872148642156</v>
      </c>
      <c r="BH16" s="26" t="s">
        <v>45</v>
      </c>
      <c r="BI16" s="47">
        <v>7695.1278513578454</v>
      </c>
      <c r="BJ16" s="26" t="s">
        <v>45</v>
      </c>
      <c r="BK16" s="47"/>
      <c r="BL16" s="47"/>
      <c r="XFD16" s="45"/>
    </row>
    <row r="17" spans="1:64">
      <c r="A17" s="24">
        <v>1980</v>
      </c>
      <c r="B17" s="25">
        <v>5083</v>
      </c>
      <c r="C17" s="25">
        <v>3335</v>
      </c>
      <c r="D17" s="25">
        <v>133</v>
      </c>
      <c r="E17" s="25">
        <v>642</v>
      </c>
      <c r="F17" s="25">
        <v>13</v>
      </c>
      <c r="G17" s="25">
        <v>15258</v>
      </c>
      <c r="H17" s="25">
        <v>6854</v>
      </c>
      <c r="I17" s="25"/>
      <c r="J17" s="26" t="s">
        <v>45</v>
      </c>
      <c r="K17" s="25">
        <v>16938</v>
      </c>
      <c r="L17" s="25">
        <v>48291</v>
      </c>
      <c r="M17" s="27">
        <v>1980</v>
      </c>
      <c r="N17" s="25">
        <v>38</v>
      </c>
      <c r="O17" s="25">
        <v>3</v>
      </c>
      <c r="P17" s="25">
        <v>262</v>
      </c>
      <c r="Q17" s="25">
        <v>919</v>
      </c>
      <c r="R17" s="26" t="s">
        <v>45</v>
      </c>
      <c r="S17" s="25">
        <v>27815</v>
      </c>
      <c r="T17" s="26" t="s">
        <v>45</v>
      </c>
      <c r="U17" s="26" t="s">
        <v>45</v>
      </c>
      <c r="V17" s="25">
        <v>5</v>
      </c>
      <c r="W17" s="25">
        <v>1257</v>
      </c>
      <c r="X17" s="25">
        <v>5242</v>
      </c>
      <c r="Y17" s="26" t="s">
        <v>45</v>
      </c>
      <c r="Z17" s="25">
        <v>35541</v>
      </c>
      <c r="AA17" s="27">
        <v>1980</v>
      </c>
      <c r="AB17" s="25">
        <v>6575</v>
      </c>
      <c r="AC17" s="25">
        <v>401</v>
      </c>
      <c r="AD17" s="25">
        <v>1370</v>
      </c>
      <c r="AE17" s="25">
        <v>21258</v>
      </c>
      <c r="AF17" s="25">
        <v>7403</v>
      </c>
      <c r="AG17" s="26" t="s">
        <v>45</v>
      </c>
      <c r="AH17" s="26" t="s">
        <v>45</v>
      </c>
      <c r="AI17" s="25">
        <v>2834</v>
      </c>
      <c r="AJ17" s="25">
        <v>39841</v>
      </c>
      <c r="AK17" s="27">
        <v>1980</v>
      </c>
      <c r="AL17" s="25">
        <v>1154</v>
      </c>
      <c r="AM17" s="25">
        <v>237</v>
      </c>
      <c r="AN17" s="25">
        <v>5194</v>
      </c>
      <c r="AO17" s="25">
        <v>4733</v>
      </c>
      <c r="AP17" s="26" t="s">
        <v>45</v>
      </c>
      <c r="AQ17" s="26" t="s">
        <v>45</v>
      </c>
      <c r="AR17" s="25">
        <v>7403</v>
      </c>
      <c r="AS17" s="25">
        <v>18721</v>
      </c>
      <c r="AT17" s="27">
        <v>1980</v>
      </c>
      <c r="AU17" s="25">
        <v>12854</v>
      </c>
      <c r="AV17" s="25">
        <v>3975</v>
      </c>
      <c r="AW17" s="25">
        <v>1504</v>
      </c>
      <c r="AX17" s="25">
        <v>642</v>
      </c>
      <c r="AY17" s="25">
        <v>76</v>
      </c>
      <c r="AZ17" s="25">
        <v>41647</v>
      </c>
      <c r="BA17" s="25">
        <v>19252</v>
      </c>
      <c r="BB17" s="26" t="s">
        <v>45</v>
      </c>
      <c r="BC17" s="26" t="s">
        <v>45</v>
      </c>
      <c r="BD17" s="25">
        <v>62408</v>
      </c>
      <c r="BE17" s="25">
        <v>142394</v>
      </c>
      <c r="BF17" s="27">
        <v>1980</v>
      </c>
      <c r="BG17" s="47">
        <v>20395.386712940606</v>
      </c>
      <c r="BH17" s="26" t="s">
        <v>45</v>
      </c>
      <c r="BI17" s="47">
        <v>7419.613287059392</v>
      </c>
      <c r="BJ17" s="26" t="s">
        <v>45</v>
      </c>
      <c r="BK17" s="47"/>
      <c r="BL17" s="47"/>
    </row>
    <row r="18" spans="1:64">
      <c r="A18" s="24">
        <v>1981</v>
      </c>
      <c r="B18" s="25">
        <v>4534</v>
      </c>
      <c r="C18" s="25">
        <v>4564</v>
      </c>
      <c r="D18" s="25">
        <v>116</v>
      </c>
      <c r="E18" s="25">
        <v>665</v>
      </c>
      <c r="F18" s="25">
        <v>13</v>
      </c>
      <c r="G18" s="25">
        <v>14489</v>
      </c>
      <c r="H18" s="25">
        <v>6622</v>
      </c>
      <c r="I18" s="25"/>
      <c r="J18" s="26" t="s">
        <v>45</v>
      </c>
      <c r="K18" s="25">
        <v>14761</v>
      </c>
      <c r="L18" s="25">
        <v>45776</v>
      </c>
      <c r="M18" s="27">
        <v>1981</v>
      </c>
      <c r="N18" s="25">
        <v>38</v>
      </c>
      <c r="O18" s="25">
        <v>0</v>
      </c>
      <c r="P18" s="25">
        <v>259</v>
      </c>
      <c r="Q18" s="25">
        <v>877</v>
      </c>
      <c r="R18" s="26" t="s">
        <v>45</v>
      </c>
      <c r="S18" s="25">
        <v>27009</v>
      </c>
      <c r="T18" s="26" t="s">
        <v>45</v>
      </c>
      <c r="U18" s="26" t="s">
        <v>45</v>
      </c>
      <c r="V18" s="25">
        <v>0</v>
      </c>
      <c r="W18" s="25">
        <v>1101</v>
      </c>
      <c r="X18" s="25">
        <v>5020</v>
      </c>
      <c r="Y18" s="26" t="s">
        <v>45</v>
      </c>
      <c r="Z18" s="25">
        <v>34304</v>
      </c>
      <c r="AA18" s="27">
        <v>1981</v>
      </c>
      <c r="AB18" s="25">
        <v>6214</v>
      </c>
      <c r="AC18" s="25">
        <v>368</v>
      </c>
      <c r="AD18" s="25">
        <v>1202</v>
      </c>
      <c r="AE18" s="25">
        <v>22076</v>
      </c>
      <c r="AF18" s="25">
        <v>7260</v>
      </c>
      <c r="AG18" s="26" t="s">
        <v>45</v>
      </c>
      <c r="AH18" s="26" t="s">
        <v>45</v>
      </c>
      <c r="AI18" s="25">
        <v>2554</v>
      </c>
      <c r="AJ18" s="25">
        <v>39674</v>
      </c>
      <c r="AK18" s="27">
        <v>1981</v>
      </c>
      <c r="AL18" s="25">
        <v>1174</v>
      </c>
      <c r="AM18" s="25">
        <v>204</v>
      </c>
      <c r="AN18" s="25">
        <v>5315</v>
      </c>
      <c r="AO18" s="25">
        <v>4804</v>
      </c>
      <c r="AP18" s="26" t="s">
        <v>45</v>
      </c>
      <c r="AQ18" s="26" t="s">
        <v>45</v>
      </c>
      <c r="AR18" s="25">
        <v>7096</v>
      </c>
      <c r="AS18" s="25">
        <v>18592</v>
      </c>
      <c r="AT18" s="27">
        <v>1981</v>
      </c>
      <c r="AU18" s="25">
        <v>11960</v>
      </c>
      <c r="AV18" s="25">
        <v>5136</v>
      </c>
      <c r="AW18" s="25">
        <v>1317</v>
      </c>
      <c r="AX18" s="25">
        <v>665</v>
      </c>
      <c r="AY18" s="25">
        <v>65</v>
      </c>
      <c r="AZ18" s="25">
        <v>41828</v>
      </c>
      <c r="BA18" s="25">
        <v>18945</v>
      </c>
      <c r="BB18" s="26" t="s">
        <v>45</v>
      </c>
      <c r="BC18" s="26" t="s">
        <v>45</v>
      </c>
      <c r="BD18" s="25">
        <v>58420</v>
      </c>
      <c r="BE18" s="25">
        <v>138346</v>
      </c>
      <c r="BF18" s="27">
        <v>1981</v>
      </c>
      <c r="BG18" s="47">
        <v>19983.040873133294</v>
      </c>
      <c r="BH18" s="26" t="s">
        <v>45</v>
      </c>
      <c r="BI18" s="47">
        <v>7025.9591268667054</v>
      </c>
      <c r="BJ18" s="26" t="s">
        <v>45</v>
      </c>
      <c r="BK18" s="47"/>
      <c r="BL18" s="47"/>
    </row>
    <row r="19" spans="1:64">
      <c r="A19" s="24">
        <v>1982</v>
      </c>
      <c r="B19" s="25">
        <v>4668</v>
      </c>
      <c r="C19" s="25">
        <v>4083</v>
      </c>
      <c r="D19" s="25">
        <v>144</v>
      </c>
      <c r="E19" s="25">
        <v>605</v>
      </c>
      <c r="F19" s="25">
        <v>8</v>
      </c>
      <c r="G19" s="25">
        <v>14588</v>
      </c>
      <c r="H19" s="25">
        <v>6353</v>
      </c>
      <c r="I19" s="25"/>
      <c r="J19" s="26" t="s">
        <v>45</v>
      </c>
      <c r="K19" s="25">
        <v>13530</v>
      </c>
      <c r="L19" s="25">
        <v>44007</v>
      </c>
      <c r="M19" s="27">
        <v>1982</v>
      </c>
      <c r="N19" s="25">
        <v>35</v>
      </c>
      <c r="O19" s="25">
        <v>0</v>
      </c>
      <c r="P19" s="25">
        <v>229</v>
      </c>
      <c r="Q19" s="25">
        <v>793</v>
      </c>
      <c r="R19" s="26" t="s">
        <v>45</v>
      </c>
      <c r="S19" s="25">
        <v>27797</v>
      </c>
      <c r="T19" s="26" t="s">
        <v>45</v>
      </c>
      <c r="U19" s="26" t="s">
        <v>45</v>
      </c>
      <c r="V19" s="25">
        <v>3</v>
      </c>
      <c r="W19" s="25">
        <v>1186</v>
      </c>
      <c r="X19" s="25">
        <v>4993</v>
      </c>
      <c r="Y19" s="26" t="s">
        <v>45</v>
      </c>
      <c r="Z19" s="25">
        <v>35037</v>
      </c>
      <c r="AA19" s="27">
        <v>1982</v>
      </c>
      <c r="AB19" s="25">
        <v>6242</v>
      </c>
      <c r="AC19" s="25">
        <v>365</v>
      </c>
      <c r="AD19" s="25">
        <v>1146</v>
      </c>
      <c r="AE19" s="25">
        <v>21963</v>
      </c>
      <c r="AF19" s="25">
        <v>7116</v>
      </c>
      <c r="AG19" s="26" t="s">
        <v>45</v>
      </c>
      <c r="AH19" s="26" t="s">
        <v>45</v>
      </c>
      <c r="AI19" s="25">
        <v>2385</v>
      </c>
      <c r="AJ19" s="25">
        <v>39218</v>
      </c>
      <c r="AK19" s="27">
        <v>1982</v>
      </c>
      <c r="AL19" s="25">
        <v>1222</v>
      </c>
      <c r="AM19" s="25">
        <v>212</v>
      </c>
      <c r="AN19" s="25">
        <v>5486</v>
      </c>
      <c r="AO19" s="25">
        <v>4867</v>
      </c>
      <c r="AP19" s="26" t="s">
        <v>45</v>
      </c>
      <c r="AQ19" s="26" t="s">
        <v>45</v>
      </c>
      <c r="AR19" s="25">
        <v>6678</v>
      </c>
      <c r="AS19" s="25">
        <v>18464</v>
      </c>
      <c r="AT19" s="27">
        <v>1982</v>
      </c>
      <c r="AU19" s="25">
        <v>12169</v>
      </c>
      <c r="AV19" s="25">
        <v>4660</v>
      </c>
      <c r="AW19" s="25">
        <v>1290</v>
      </c>
      <c r="AX19" s="25">
        <v>605</v>
      </c>
      <c r="AY19" s="25">
        <v>55</v>
      </c>
      <c r="AZ19" s="25">
        <v>41990</v>
      </c>
      <c r="BA19" s="25">
        <v>18567</v>
      </c>
      <c r="BB19" s="26" t="s">
        <v>45</v>
      </c>
      <c r="BC19" s="26" t="s">
        <v>45</v>
      </c>
      <c r="BD19" s="25">
        <v>57360</v>
      </c>
      <c r="BE19" s="25">
        <v>136726</v>
      </c>
      <c r="BF19" s="27">
        <v>1982</v>
      </c>
      <c r="BG19" s="47">
        <v>20671.010999093487</v>
      </c>
      <c r="BH19" s="26" t="s">
        <v>45</v>
      </c>
      <c r="BI19" s="47">
        <v>7125.9890009065102</v>
      </c>
      <c r="BJ19" s="26" t="s">
        <v>45</v>
      </c>
      <c r="BK19" s="47"/>
      <c r="BL19" s="47"/>
    </row>
    <row r="20" spans="1:64">
      <c r="A20" s="24">
        <v>1983</v>
      </c>
      <c r="B20" s="25">
        <v>4708</v>
      </c>
      <c r="C20" s="25">
        <v>4307</v>
      </c>
      <c r="D20" s="25">
        <v>126</v>
      </c>
      <c r="E20" s="25">
        <v>635</v>
      </c>
      <c r="F20" s="25">
        <v>5</v>
      </c>
      <c r="G20" s="25">
        <v>14021</v>
      </c>
      <c r="H20" s="25">
        <v>6376</v>
      </c>
      <c r="I20" s="25"/>
      <c r="J20" s="26" t="s">
        <v>45</v>
      </c>
      <c r="K20" s="25">
        <v>11988</v>
      </c>
      <c r="L20" s="25">
        <v>42191</v>
      </c>
      <c r="M20" s="27">
        <v>1983</v>
      </c>
      <c r="N20" s="25">
        <v>15</v>
      </c>
      <c r="O20" s="25">
        <v>0</v>
      </c>
      <c r="P20" s="25">
        <v>247</v>
      </c>
      <c r="Q20" s="25">
        <v>849</v>
      </c>
      <c r="R20" s="26" t="s">
        <v>45</v>
      </c>
      <c r="S20" s="25">
        <v>28646</v>
      </c>
      <c r="T20" s="26" t="s">
        <v>45</v>
      </c>
      <c r="U20" s="26" t="s">
        <v>45</v>
      </c>
      <c r="V20" s="25">
        <v>3</v>
      </c>
      <c r="W20" s="25">
        <v>1207</v>
      </c>
      <c r="X20" s="25">
        <v>5093</v>
      </c>
      <c r="Y20" s="26" t="s">
        <v>45</v>
      </c>
      <c r="Z20" s="25">
        <v>36059</v>
      </c>
      <c r="AA20" s="27">
        <v>1983</v>
      </c>
      <c r="AB20" s="25">
        <v>5796</v>
      </c>
      <c r="AC20" s="25">
        <v>335</v>
      </c>
      <c r="AD20" s="25">
        <v>1141</v>
      </c>
      <c r="AE20" s="25">
        <v>22346</v>
      </c>
      <c r="AF20" s="25">
        <v>7129</v>
      </c>
      <c r="AG20" s="26" t="s">
        <v>45</v>
      </c>
      <c r="AH20" s="26" t="s">
        <v>45</v>
      </c>
      <c r="AI20" s="25">
        <v>2267</v>
      </c>
      <c r="AJ20" s="25">
        <v>39014</v>
      </c>
      <c r="AK20" s="27">
        <v>1983</v>
      </c>
      <c r="AL20" s="25">
        <v>1166</v>
      </c>
      <c r="AM20" s="25">
        <v>257</v>
      </c>
      <c r="AN20" s="25">
        <v>5915</v>
      </c>
      <c r="AO20" s="25">
        <v>5106</v>
      </c>
      <c r="AP20" s="26" t="s">
        <v>45</v>
      </c>
      <c r="AQ20" s="26" t="s">
        <v>45</v>
      </c>
      <c r="AR20" s="25">
        <v>6403</v>
      </c>
      <c r="AS20" s="25">
        <v>18847</v>
      </c>
      <c r="AT20" s="27">
        <v>1983</v>
      </c>
      <c r="AU20" s="25">
        <v>11688</v>
      </c>
      <c r="AV20" s="25">
        <v>4899</v>
      </c>
      <c r="AW20" s="25">
        <v>1267</v>
      </c>
      <c r="AX20" s="25">
        <v>635</v>
      </c>
      <c r="AY20" s="25">
        <v>45</v>
      </c>
      <c r="AZ20" s="25">
        <v>42242</v>
      </c>
      <c r="BA20" s="25">
        <v>18856</v>
      </c>
      <c r="BB20" s="26" t="s">
        <v>45</v>
      </c>
      <c r="BC20" s="26" t="s">
        <v>45</v>
      </c>
      <c r="BD20" s="25">
        <v>56453</v>
      </c>
      <c r="BE20" s="25">
        <v>136111</v>
      </c>
      <c r="BF20" s="27">
        <v>1983</v>
      </c>
      <c r="BG20" s="47">
        <v>21146.660202807296</v>
      </c>
      <c r="BH20" s="26" t="s">
        <v>45</v>
      </c>
      <c r="BI20" s="47">
        <v>7499.3397971927034</v>
      </c>
      <c r="BJ20" s="26" t="s">
        <v>45</v>
      </c>
      <c r="BK20" s="47"/>
      <c r="BL20" s="47"/>
    </row>
    <row r="21" spans="1:64">
      <c r="A21" s="24">
        <v>1984</v>
      </c>
      <c r="B21" s="25">
        <v>3796</v>
      </c>
      <c r="C21" s="25">
        <v>4408</v>
      </c>
      <c r="D21" s="25">
        <v>68</v>
      </c>
      <c r="E21" s="25">
        <v>537</v>
      </c>
      <c r="F21" s="25">
        <v>5</v>
      </c>
      <c r="G21" s="25">
        <v>14686</v>
      </c>
      <c r="H21" s="25">
        <v>6758</v>
      </c>
      <c r="I21" s="25"/>
      <c r="J21" s="26" t="s">
        <v>45</v>
      </c>
      <c r="K21" s="25">
        <v>10859</v>
      </c>
      <c r="L21" s="25">
        <v>41138</v>
      </c>
      <c r="M21" s="27">
        <v>1984</v>
      </c>
      <c r="N21" s="25">
        <v>3</v>
      </c>
      <c r="O21" s="25">
        <v>0</v>
      </c>
      <c r="P21" s="25">
        <v>247</v>
      </c>
      <c r="Q21" s="25">
        <v>816</v>
      </c>
      <c r="R21" s="26" t="s">
        <v>45</v>
      </c>
      <c r="S21" s="25">
        <v>30006</v>
      </c>
      <c r="T21" s="26" t="s">
        <v>45</v>
      </c>
      <c r="U21" s="26" t="s">
        <v>45</v>
      </c>
      <c r="V21" s="25">
        <v>0</v>
      </c>
      <c r="W21" s="25">
        <v>1328</v>
      </c>
      <c r="X21" s="25">
        <v>5383</v>
      </c>
      <c r="Y21" s="26" t="s">
        <v>45</v>
      </c>
      <c r="Z21" s="25">
        <v>37782</v>
      </c>
      <c r="AA21" s="27">
        <v>1984</v>
      </c>
      <c r="AB21" s="25">
        <v>4733</v>
      </c>
      <c r="AC21" s="25">
        <v>335</v>
      </c>
      <c r="AD21" s="25">
        <v>728</v>
      </c>
      <c r="AE21" s="25">
        <v>22502</v>
      </c>
      <c r="AF21" s="25">
        <v>7212</v>
      </c>
      <c r="AG21" s="26" t="s">
        <v>45</v>
      </c>
      <c r="AH21" s="26" t="s">
        <v>45</v>
      </c>
      <c r="AI21" s="25">
        <v>2385</v>
      </c>
      <c r="AJ21" s="25">
        <v>37896</v>
      </c>
      <c r="AK21" s="27">
        <v>1984</v>
      </c>
      <c r="AL21" s="25">
        <v>1141</v>
      </c>
      <c r="AM21" s="25">
        <v>252</v>
      </c>
      <c r="AN21" s="25">
        <v>6101</v>
      </c>
      <c r="AO21" s="25">
        <v>5063</v>
      </c>
      <c r="AP21" s="26" t="s">
        <v>45</v>
      </c>
      <c r="AQ21" s="26" t="s">
        <v>45</v>
      </c>
      <c r="AR21" s="25">
        <v>6381</v>
      </c>
      <c r="AS21" s="25">
        <v>18938</v>
      </c>
      <c r="AT21" s="27">
        <v>1984</v>
      </c>
      <c r="AU21" s="25">
        <v>9673</v>
      </c>
      <c r="AV21" s="25">
        <v>4995</v>
      </c>
      <c r="AW21" s="25">
        <v>796</v>
      </c>
      <c r="AX21" s="25">
        <v>537</v>
      </c>
      <c r="AY21" s="25">
        <v>43</v>
      </c>
      <c r="AZ21" s="25">
        <v>43251</v>
      </c>
      <c r="BA21" s="25">
        <v>19280</v>
      </c>
      <c r="BB21" s="26" t="s">
        <v>45</v>
      </c>
      <c r="BC21" s="26" t="s">
        <v>45</v>
      </c>
      <c r="BD21" s="25">
        <v>57158</v>
      </c>
      <c r="BE21" s="25">
        <v>135753</v>
      </c>
      <c r="BF21" s="27">
        <v>1984</v>
      </c>
      <c r="BG21" s="47">
        <v>21909.196005552505</v>
      </c>
      <c r="BH21" s="26" t="s">
        <v>45</v>
      </c>
      <c r="BI21" s="47">
        <v>8096.8039944474967</v>
      </c>
      <c r="BJ21" s="26" t="s">
        <v>45</v>
      </c>
      <c r="BK21" s="47"/>
      <c r="BL21" s="47"/>
    </row>
    <row r="22" spans="1:64">
      <c r="A22" s="24">
        <v>1985</v>
      </c>
      <c r="B22" s="25">
        <v>4708</v>
      </c>
      <c r="C22" s="25">
        <v>4655</v>
      </c>
      <c r="D22" s="25">
        <v>151</v>
      </c>
      <c r="E22" s="25">
        <v>768</v>
      </c>
      <c r="F22" s="25">
        <v>3</v>
      </c>
      <c r="G22" s="25">
        <v>14865</v>
      </c>
      <c r="H22" s="25">
        <v>6837</v>
      </c>
      <c r="I22" s="25"/>
      <c r="J22" s="26" t="s">
        <v>45</v>
      </c>
      <c r="K22" s="25">
        <v>9701</v>
      </c>
      <c r="L22" s="25">
        <v>41702</v>
      </c>
      <c r="M22" s="27">
        <v>1985</v>
      </c>
      <c r="N22" s="25">
        <v>3</v>
      </c>
      <c r="O22" s="25">
        <v>0</v>
      </c>
      <c r="P22" s="25">
        <v>254</v>
      </c>
      <c r="Q22" s="25">
        <v>821</v>
      </c>
      <c r="R22" s="26" t="s">
        <v>45</v>
      </c>
      <c r="S22" s="25">
        <v>30586</v>
      </c>
      <c r="T22" s="26" t="s">
        <v>45</v>
      </c>
      <c r="U22" s="26" t="s">
        <v>45</v>
      </c>
      <c r="V22" s="25">
        <v>0</v>
      </c>
      <c r="W22" s="25">
        <v>1254</v>
      </c>
      <c r="X22" s="25">
        <v>5582</v>
      </c>
      <c r="Y22" s="26" t="s">
        <v>45</v>
      </c>
      <c r="Z22" s="25">
        <v>38500</v>
      </c>
      <c r="AA22" s="27">
        <v>1985</v>
      </c>
      <c r="AB22" s="25">
        <v>6290</v>
      </c>
      <c r="AC22" s="25">
        <v>385</v>
      </c>
      <c r="AD22" s="25">
        <v>957</v>
      </c>
      <c r="AE22" s="25">
        <v>24394</v>
      </c>
      <c r="AF22" s="25">
        <v>7582</v>
      </c>
      <c r="AG22" s="26" t="s">
        <v>45</v>
      </c>
      <c r="AH22" s="26" t="s">
        <v>45</v>
      </c>
      <c r="AI22" s="25">
        <v>2454</v>
      </c>
      <c r="AJ22" s="25">
        <v>42062</v>
      </c>
      <c r="AK22" s="27">
        <v>1985</v>
      </c>
      <c r="AL22" s="25">
        <v>1123</v>
      </c>
      <c r="AM22" s="25">
        <v>297</v>
      </c>
      <c r="AN22" s="25">
        <v>6718</v>
      </c>
      <c r="AO22" s="25">
        <v>5446</v>
      </c>
      <c r="AP22" s="26" t="s">
        <v>45</v>
      </c>
      <c r="AQ22" s="26" t="s">
        <v>45</v>
      </c>
      <c r="AR22" s="25">
        <v>6018</v>
      </c>
      <c r="AS22" s="25">
        <v>19603</v>
      </c>
      <c r="AT22" s="27">
        <v>1985</v>
      </c>
      <c r="AU22" s="25">
        <v>12124</v>
      </c>
      <c r="AV22" s="25">
        <v>5338</v>
      </c>
      <c r="AW22" s="25">
        <v>1108</v>
      </c>
      <c r="AX22" s="25">
        <v>768</v>
      </c>
      <c r="AY22" s="25">
        <v>40</v>
      </c>
      <c r="AZ22" s="25">
        <v>45940</v>
      </c>
      <c r="BA22" s="25">
        <v>20118</v>
      </c>
      <c r="BB22" s="26" t="s">
        <v>45</v>
      </c>
      <c r="BC22" s="26" t="s">
        <v>45</v>
      </c>
      <c r="BD22" s="25">
        <v>56416</v>
      </c>
      <c r="BE22" s="25">
        <v>141867</v>
      </c>
      <c r="BF22" s="27">
        <v>1985</v>
      </c>
      <c r="BG22" s="47">
        <v>22080.973476509847</v>
      </c>
      <c r="BH22" s="26" t="s">
        <v>45</v>
      </c>
      <c r="BI22" s="47">
        <v>8505.0265234901526</v>
      </c>
      <c r="BJ22" s="26" t="s">
        <v>45</v>
      </c>
      <c r="BK22" s="47"/>
      <c r="BL22" s="47"/>
    </row>
    <row r="23" spans="1:64">
      <c r="A23" s="24">
        <v>1986</v>
      </c>
      <c r="B23" s="25">
        <v>5242</v>
      </c>
      <c r="C23" s="25">
        <v>4144</v>
      </c>
      <c r="D23" s="25">
        <v>98</v>
      </c>
      <c r="E23" s="25">
        <v>778</v>
      </c>
      <c r="F23" s="25">
        <v>3</v>
      </c>
      <c r="G23" s="25">
        <v>13542</v>
      </c>
      <c r="H23" s="25">
        <v>6884</v>
      </c>
      <c r="I23" s="25"/>
      <c r="J23" s="26" t="s">
        <v>45</v>
      </c>
      <c r="K23" s="25">
        <v>10240</v>
      </c>
      <c r="L23" s="25">
        <v>40931</v>
      </c>
      <c r="M23" s="27">
        <v>1986</v>
      </c>
      <c r="N23" s="25">
        <v>3</v>
      </c>
      <c r="O23" s="25">
        <v>0</v>
      </c>
      <c r="P23" s="25">
        <v>259</v>
      </c>
      <c r="Q23" s="25">
        <v>809</v>
      </c>
      <c r="R23" s="26" t="s">
        <v>45</v>
      </c>
      <c r="S23" s="25">
        <v>32606</v>
      </c>
      <c r="T23" s="26" t="s">
        <v>45</v>
      </c>
      <c r="U23" s="26" t="s">
        <v>45</v>
      </c>
      <c r="V23" s="25">
        <v>0</v>
      </c>
      <c r="W23" s="25">
        <v>1151</v>
      </c>
      <c r="X23" s="25">
        <v>6126</v>
      </c>
      <c r="Y23" s="26" t="s">
        <v>45</v>
      </c>
      <c r="Z23" s="25">
        <v>40954</v>
      </c>
      <c r="AA23" s="27">
        <v>1986</v>
      </c>
      <c r="AB23" s="25">
        <v>6121</v>
      </c>
      <c r="AC23" s="25">
        <v>335</v>
      </c>
      <c r="AD23" s="25">
        <v>965</v>
      </c>
      <c r="AE23" s="25">
        <v>25797</v>
      </c>
      <c r="AF23" s="25">
        <v>7892</v>
      </c>
      <c r="AG23" s="26" t="s">
        <v>45</v>
      </c>
      <c r="AH23" s="26" t="s">
        <v>45</v>
      </c>
      <c r="AI23" s="25">
        <v>2590</v>
      </c>
      <c r="AJ23" s="25">
        <v>43700</v>
      </c>
      <c r="AK23" s="27">
        <v>1986</v>
      </c>
      <c r="AL23" s="25">
        <v>982</v>
      </c>
      <c r="AM23" s="25">
        <v>390</v>
      </c>
      <c r="AN23" s="25">
        <v>7308</v>
      </c>
      <c r="AO23" s="25">
        <v>5731</v>
      </c>
      <c r="AP23" s="26" t="s">
        <v>45</v>
      </c>
      <c r="AQ23" s="26" t="s">
        <v>45</v>
      </c>
      <c r="AR23" s="25">
        <v>5723</v>
      </c>
      <c r="AS23" s="25">
        <v>20135</v>
      </c>
      <c r="AT23" s="27">
        <v>1986</v>
      </c>
      <c r="AU23" s="25">
        <v>12348</v>
      </c>
      <c r="AV23" s="25">
        <v>4869</v>
      </c>
      <c r="AW23" s="25">
        <v>1063</v>
      </c>
      <c r="AX23" s="25">
        <v>778</v>
      </c>
      <c r="AY23" s="25">
        <v>28</v>
      </c>
      <c r="AZ23" s="25">
        <v>46622</v>
      </c>
      <c r="BA23" s="25">
        <v>20763</v>
      </c>
      <c r="BB23" s="26" t="s">
        <v>45</v>
      </c>
      <c r="BC23" s="26" t="s">
        <v>45</v>
      </c>
      <c r="BD23" s="25">
        <v>59245</v>
      </c>
      <c r="BE23" s="25">
        <v>145719</v>
      </c>
      <c r="BF23" s="27">
        <v>1986</v>
      </c>
      <c r="BG23" s="47">
        <v>23279.684720901831</v>
      </c>
      <c r="BH23" s="26" t="s">
        <v>45</v>
      </c>
      <c r="BI23" s="47">
        <v>9326.3152790981676</v>
      </c>
      <c r="BJ23" s="26" t="s">
        <v>45</v>
      </c>
      <c r="BK23" s="47"/>
      <c r="BL23" s="47"/>
    </row>
    <row r="24" spans="1:64">
      <c r="A24" s="24">
        <v>1987</v>
      </c>
      <c r="B24" s="25">
        <v>4048</v>
      </c>
      <c r="C24" s="25">
        <v>4660</v>
      </c>
      <c r="D24" s="25">
        <v>80</v>
      </c>
      <c r="E24" s="25">
        <v>821</v>
      </c>
      <c r="F24" s="25">
        <v>3</v>
      </c>
      <c r="G24" s="25">
        <v>14137</v>
      </c>
      <c r="H24" s="25">
        <v>8005</v>
      </c>
      <c r="I24" s="25"/>
      <c r="J24" s="26" t="s">
        <v>45</v>
      </c>
      <c r="K24" s="25">
        <v>8456</v>
      </c>
      <c r="L24" s="25">
        <v>40211</v>
      </c>
      <c r="M24" s="27">
        <v>1987</v>
      </c>
      <c r="N24" s="25">
        <v>3</v>
      </c>
      <c r="O24" s="25">
        <v>0</v>
      </c>
      <c r="P24" s="25">
        <v>264</v>
      </c>
      <c r="Q24" s="25">
        <v>761</v>
      </c>
      <c r="R24" s="26" t="s">
        <v>45</v>
      </c>
      <c r="S24" s="25">
        <v>34062</v>
      </c>
      <c r="T24" s="26" t="s">
        <v>45</v>
      </c>
      <c r="U24" s="26" t="s">
        <v>45</v>
      </c>
      <c r="V24" s="25">
        <v>0</v>
      </c>
      <c r="W24" s="25">
        <v>1103</v>
      </c>
      <c r="X24" s="25">
        <v>6479</v>
      </c>
      <c r="Y24" s="26" t="s">
        <v>45</v>
      </c>
      <c r="Z24" s="25">
        <v>42672</v>
      </c>
      <c r="AA24" s="27">
        <v>1987</v>
      </c>
      <c r="AB24" s="25">
        <v>5189</v>
      </c>
      <c r="AC24" s="25">
        <v>315</v>
      </c>
      <c r="AD24" s="25">
        <v>1018</v>
      </c>
      <c r="AE24" s="25">
        <v>26450</v>
      </c>
      <c r="AF24" s="25">
        <v>8015</v>
      </c>
      <c r="AG24" s="26" t="s">
        <v>45</v>
      </c>
      <c r="AH24" s="26" t="s">
        <v>45</v>
      </c>
      <c r="AI24" s="25">
        <v>2474</v>
      </c>
      <c r="AJ24" s="25">
        <v>43460</v>
      </c>
      <c r="AK24" s="27">
        <v>1987</v>
      </c>
      <c r="AL24" s="25">
        <v>935</v>
      </c>
      <c r="AM24" s="25">
        <v>368</v>
      </c>
      <c r="AN24" s="25">
        <v>7534</v>
      </c>
      <c r="AO24" s="25">
        <v>5965</v>
      </c>
      <c r="AP24" s="26" t="s">
        <v>45</v>
      </c>
      <c r="AQ24" s="26" t="s">
        <v>45</v>
      </c>
      <c r="AR24" s="25">
        <v>4988</v>
      </c>
      <c r="AS24" s="25">
        <v>19790</v>
      </c>
      <c r="AT24" s="27">
        <v>1987</v>
      </c>
      <c r="AU24" s="25">
        <v>10174</v>
      </c>
      <c r="AV24" s="25">
        <v>5343</v>
      </c>
      <c r="AW24" s="25">
        <v>1098</v>
      </c>
      <c r="AX24" s="25">
        <v>821</v>
      </c>
      <c r="AY24" s="25">
        <v>28</v>
      </c>
      <c r="AZ24" s="25">
        <v>48096</v>
      </c>
      <c r="BA24" s="25">
        <v>22252</v>
      </c>
      <c r="BB24" s="26" t="s">
        <v>45</v>
      </c>
      <c r="BC24" s="26" t="s">
        <v>45</v>
      </c>
      <c r="BD24" s="25">
        <v>58325</v>
      </c>
      <c r="BE24" s="25">
        <v>146132</v>
      </c>
      <c r="BF24" s="27">
        <v>1987</v>
      </c>
      <c r="BG24" s="47">
        <v>24165.572280578734</v>
      </c>
      <c r="BH24" s="26" t="s">
        <v>45</v>
      </c>
      <c r="BI24" s="47">
        <v>9896.4277194212664</v>
      </c>
      <c r="BJ24" s="26" t="s">
        <v>45</v>
      </c>
      <c r="BK24" s="47"/>
      <c r="BL24" s="47"/>
    </row>
    <row r="25" spans="1:64">
      <c r="A25" s="24">
        <v>1988</v>
      </c>
      <c r="B25" s="25">
        <v>4166</v>
      </c>
      <c r="C25" s="25">
        <v>5041</v>
      </c>
      <c r="D25" s="25">
        <v>55</v>
      </c>
      <c r="E25" s="25">
        <v>771</v>
      </c>
      <c r="F25" s="25">
        <v>0</v>
      </c>
      <c r="G25" s="25">
        <v>12883</v>
      </c>
      <c r="H25" s="25">
        <v>8350</v>
      </c>
      <c r="I25" s="25"/>
      <c r="J25" s="25">
        <v>100</v>
      </c>
      <c r="K25" s="25">
        <v>9441</v>
      </c>
      <c r="L25" s="25">
        <v>40807</v>
      </c>
      <c r="M25" s="27">
        <v>1988</v>
      </c>
      <c r="N25" s="26" t="s">
        <v>45</v>
      </c>
      <c r="O25" s="25">
        <v>0</v>
      </c>
      <c r="P25" s="25">
        <v>282</v>
      </c>
      <c r="Q25" s="25">
        <v>766</v>
      </c>
      <c r="R25" s="26" t="s">
        <v>45</v>
      </c>
      <c r="S25" s="25">
        <v>36233</v>
      </c>
      <c r="T25" s="26" t="s">
        <v>45</v>
      </c>
      <c r="U25" s="26" t="s">
        <v>45</v>
      </c>
      <c r="V25" s="25">
        <v>0</v>
      </c>
      <c r="W25" s="25">
        <v>1159</v>
      </c>
      <c r="X25" s="25">
        <v>6905</v>
      </c>
      <c r="Y25" s="26" t="s">
        <v>45</v>
      </c>
      <c r="Z25" s="25">
        <v>45345</v>
      </c>
      <c r="AA25" s="27">
        <v>1988</v>
      </c>
      <c r="AB25" s="25">
        <v>4741</v>
      </c>
      <c r="AC25" s="25">
        <v>300</v>
      </c>
      <c r="AD25" s="25">
        <v>907</v>
      </c>
      <c r="AE25" s="25">
        <v>25833</v>
      </c>
      <c r="AF25" s="25">
        <v>7940</v>
      </c>
      <c r="AG25" s="26" t="s">
        <v>45</v>
      </c>
      <c r="AH25" s="25">
        <v>205</v>
      </c>
      <c r="AI25" s="25">
        <v>2441</v>
      </c>
      <c r="AJ25" s="25">
        <v>42367</v>
      </c>
      <c r="AK25" s="27">
        <v>1988</v>
      </c>
      <c r="AL25" s="25">
        <v>831</v>
      </c>
      <c r="AM25" s="25">
        <v>264</v>
      </c>
      <c r="AN25" s="25">
        <v>7569</v>
      </c>
      <c r="AO25" s="25">
        <v>6240</v>
      </c>
      <c r="AP25" s="26" t="s">
        <v>45</v>
      </c>
      <c r="AQ25" s="25">
        <v>138</v>
      </c>
      <c r="AR25" s="25">
        <v>5008</v>
      </c>
      <c r="AS25" s="25">
        <v>20050</v>
      </c>
      <c r="AT25" s="27">
        <v>1988</v>
      </c>
      <c r="AU25" s="25">
        <v>9738</v>
      </c>
      <c r="AV25" s="25">
        <v>5605</v>
      </c>
      <c r="AW25" s="25">
        <v>962</v>
      </c>
      <c r="AX25" s="25">
        <v>771</v>
      </c>
      <c r="AY25" s="25">
        <v>8</v>
      </c>
      <c r="AZ25" s="25">
        <v>46277</v>
      </c>
      <c r="BA25" s="25">
        <v>22811</v>
      </c>
      <c r="BB25" s="26" t="s">
        <v>45</v>
      </c>
      <c r="BC25" s="25">
        <v>443</v>
      </c>
      <c r="BD25" s="25">
        <v>61952</v>
      </c>
      <c r="BE25" s="25">
        <v>148569</v>
      </c>
      <c r="BF25" s="27">
        <v>1988</v>
      </c>
      <c r="BG25" s="47">
        <v>25433.783619973514</v>
      </c>
      <c r="BH25" s="26" t="s">
        <v>45</v>
      </c>
      <c r="BI25" s="47">
        <v>10799.216380026483</v>
      </c>
      <c r="BJ25" s="26" t="s">
        <v>45</v>
      </c>
      <c r="BK25" s="47"/>
      <c r="BL25" s="47"/>
    </row>
    <row r="26" spans="1:64">
      <c r="A26" s="24">
        <v>1989</v>
      </c>
      <c r="B26" s="25">
        <v>4489</v>
      </c>
      <c r="C26" s="25">
        <v>4286</v>
      </c>
      <c r="D26" s="25">
        <v>30</v>
      </c>
      <c r="E26" s="25">
        <v>613</v>
      </c>
      <c r="F26" s="25">
        <v>0</v>
      </c>
      <c r="G26" s="25">
        <v>12515</v>
      </c>
      <c r="H26" s="25">
        <v>8550</v>
      </c>
      <c r="I26" s="25"/>
      <c r="J26" s="25">
        <v>101.8</v>
      </c>
      <c r="K26" s="25">
        <v>8820</v>
      </c>
      <c r="L26" s="25">
        <v>39404.800000000003</v>
      </c>
      <c r="M26" s="27">
        <v>1989</v>
      </c>
      <c r="N26" s="25">
        <v>3</v>
      </c>
      <c r="O26" s="25">
        <v>0</v>
      </c>
      <c r="P26" s="25">
        <v>272</v>
      </c>
      <c r="Q26" s="25">
        <v>702</v>
      </c>
      <c r="R26" s="26" t="s">
        <v>45</v>
      </c>
      <c r="S26" s="25">
        <v>37801</v>
      </c>
      <c r="T26" s="26" t="s">
        <v>45</v>
      </c>
      <c r="U26" s="26" t="s">
        <v>45</v>
      </c>
      <c r="V26" s="25">
        <v>0</v>
      </c>
      <c r="W26" s="25">
        <v>1355</v>
      </c>
      <c r="X26" s="25">
        <v>7308</v>
      </c>
      <c r="Y26" s="26" t="s">
        <v>45</v>
      </c>
      <c r="Z26" s="25">
        <v>47442</v>
      </c>
      <c r="AA26" s="27">
        <v>1989</v>
      </c>
      <c r="AB26" s="25">
        <v>3719</v>
      </c>
      <c r="AC26" s="25">
        <v>239</v>
      </c>
      <c r="AD26" s="25">
        <v>815</v>
      </c>
      <c r="AE26" s="25">
        <v>24988</v>
      </c>
      <c r="AF26" s="25">
        <v>7935</v>
      </c>
      <c r="AG26" s="26" t="s">
        <v>45</v>
      </c>
      <c r="AH26" s="25">
        <v>207.1</v>
      </c>
      <c r="AI26" s="25">
        <v>2355</v>
      </c>
      <c r="AJ26" s="25">
        <v>40258.1</v>
      </c>
      <c r="AK26" s="27">
        <v>1989</v>
      </c>
      <c r="AL26" s="25">
        <v>698</v>
      </c>
      <c r="AM26" s="25">
        <v>119</v>
      </c>
      <c r="AN26" s="25">
        <v>7278</v>
      </c>
      <c r="AO26" s="25">
        <v>6497</v>
      </c>
      <c r="AP26" s="26" t="s">
        <v>45</v>
      </c>
      <c r="AQ26" s="25">
        <v>138.30000000000001</v>
      </c>
      <c r="AR26" s="25">
        <v>4345</v>
      </c>
      <c r="AS26" s="25">
        <v>19075.3</v>
      </c>
      <c r="AT26" s="27">
        <v>1989</v>
      </c>
      <c r="AU26" s="25">
        <v>8909</v>
      </c>
      <c r="AV26" s="25">
        <v>4645</v>
      </c>
      <c r="AW26" s="25">
        <v>845</v>
      </c>
      <c r="AX26" s="25">
        <v>613</v>
      </c>
      <c r="AY26" s="25">
        <v>0</v>
      </c>
      <c r="AZ26" s="25">
        <v>44780</v>
      </c>
      <c r="BA26" s="25">
        <v>23254</v>
      </c>
      <c r="BB26" s="26" t="s">
        <v>45</v>
      </c>
      <c r="BC26" s="25">
        <v>447.2</v>
      </c>
      <c r="BD26" s="25">
        <v>62685</v>
      </c>
      <c r="BE26" s="25">
        <v>146180.19999999998</v>
      </c>
      <c r="BF26" s="27">
        <v>1989</v>
      </c>
      <c r="BG26" s="47">
        <v>26262.913677330223</v>
      </c>
      <c r="BH26" s="26" t="s">
        <v>45</v>
      </c>
      <c r="BI26" s="47">
        <v>11538.086322669777</v>
      </c>
      <c r="BJ26" s="26" t="s">
        <v>45</v>
      </c>
      <c r="BK26" s="47"/>
      <c r="BL26" s="47"/>
    </row>
    <row r="27" spans="1:64">
      <c r="A27" s="24">
        <v>1990</v>
      </c>
      <c r="B27" s="25">
        <v>4172</v>
      </c>
      <c r="C27" s="25">
        <v>3951</v>
      </c>
      <c r="D27" s="25">
        <v>42</v>
      </c>
      <c r="E27" s="25">
        <v>602</v>
      </c>
      <c r="F27" s="25">
        <v>0</v>
      </c>
      <c r="G27" s="25">
        <v>12889</v>
      </c>
      <c r="H27" s="25">
        <v>8655</v>
      </c>
      <c r="I27" s="25"/>
      <c r="J27" s="25">
        <v>106.6</v>
      </c>
      <c r="K27" s="25">
        <v>8242</v>
      </c>
      <c r="L27" s="25">
        <v>38659.599999999999</v>
      </c>
      <c r="M27" s="27">
        <v>1990</v>
      </c>
      <c r="N27" s="25">
        <v>2</v>
      </c>
      <c r="O27" s="25">
        <v>0</v>
      </c>
      <c r="P27" s="25">
        <v>455</v>
      </c>
      <c r="Q27" s="25">
        <v>668</v>
      </c>
      <c r="R27" s="26" t="s">
        <v>45</v>
      </c>
      <c r="S27" s="25">
        <v>38816</v>
      </c>
      <c r="T27" s="26" t="s">
        <v>45</v>
      </c>
      <c r="U27" s="26" t="s">
        <v>45</v>
      </c>
      <c r="V27" s="25">
        <v>0</v>
      </c>
      <c r="W27" s="25">
        <v>1363</v>
      </c>
      <c r="X27" s="25">
        <v>7332</v>
      </c>
      <c r="Y27" s="26" t="s">
        <v>45</v>
      </c>
      <c r="Z27" s="25">
        <v>48635</v>
      </c>
      <c r="AA27" s="27">
        <v>1990</v>
      </c>
      <c r="AB27" s="25">
        <v>3153</v>
      </c>
      <c r="AC27" s="25">
        <v>254</v>
      </c>
      <c r="AD27" s="25">
        <v>762</v>
      </c>
      <c r="AE27" s="25">
        <v>25835</v>
      </c>
      <c r="AF27" s="25">
        <v>8066</v>
      </c>
      <c r="AG27" s="26" t="s">
        <v>45</v>
      </c>
      <c r="AH27" s="25">
        <v>205.5</v>
      </c>
      <c r="AI27" s="25">
        <v>2480</v>
      </c>
      <c r="AJ27" s="25">
        <v>40755.5</v>
      </c>
      <c r="AK27" s="27">
        <v>1990</v>
      </c>
      <c r="AL27" s="25">
        <v>795</v>
      </c>
      <c r="AM27" s="25">
        <v>127</v>
      </c>
      <c r="AN27" s="25">
        <v>7329</v>
      </c>
      <c r="AO27" s="25">
        <v>6426</v>
      </c>
      <c r="AP27" s="26" t="s">
        <v>45</v>
      </c>
      <c r="AQ27" s="25">
        <v>138.6</v>
      </c>
      <c r="AR27" s="25">
        <v>4402</v>
      </c>
      <c r="AS27" s="25">
        <v>19217.599999999999</v>
      </c>
      <c r="AT27" s="27">
        <v>1990</v>
      </c>
      <c r="AU27" s="25">
        <v>8122</v>
      </c>
      <c r="AV27" s="25">
        <v>4333</v>
      </c>
      <c r="AW27" s="25">
        <v>804</v>
      </c>
      <c r="AX27" s="25">
        <v>602</v>
      </c>
      <c r="AY27" s="25">
        <v>0</v>
      </c>
      <c r="AZ27" s="25">
        <v>46052</v>
      </c>
      <c r="BA27" s="25">
        <v>23601</v>
      </c>
      <c r="BB27" s="26" t="s">
        <v>45</v>
      </c>
      <c r="BC27" s="25">
        <v>450.70000000000005</v>
      </c>
      <c r="BD27" s="25">
        <v>63302</v>
      </c>
      <c r="BE27" s="25">
        <v>147267.70000000001</v>
      </c>
      <c r="BF27" s="27">
        <v>1990</v>
      </c>
      <c r="BG27" s="47">
        <v>27330.915380230126</v>
      </c>
      <c r="BH27" s="26" t="s">
        <v>45</v>
      </c>
      <c r="BI27" s="47">
        <v>11485.084619769874</v>
      </c>
      <c r="BJ27" s="26" t="s">
        <v>45</v>
      </c>
      <c r="BK27" s="47"/>
      <c r="BL27" s="47"/>
    </row>
    <row r="28" spans="1:64">
      <c r="A28" s="24">
        <v>1991</v>
      </c>
      <c r="B28" s="25">
        <v>4270</v>
      </c>
      <c r="C28" s="25">
        <v>3691</v>
      </c>
      <c r="D28" s="25">
        <v>14</v>
      </c>
      <c r="E28" s="25">
        <v>570</v>
      </c>
      <c r="F28" s="25">
        <v>0</v>
      </c>
      <c r="G28" s="25">
        <v>12311</v>
      </c>
      <c r="H28" s="25">
        <v>8563</v>
      </c>
      <c r="I28" s="25"/>
      <c r="J28" s="25">
        <v>108.7</v>
      </c>
      <c r="K28" s="25">
        <v>8729</v>
      </c>
      <c r="L28" s="25">
        <v>38256.699999999997</v>
      </c>
      <c r="M28" s="27">
        <v>1991</v>
      </c>
      <c r="N28" s="26" t="s">
        <v>45</v>
      </c>
      <c r="O28" s="25">
        <v>0</v>
      </c>
      <c r="P28" s="25">
        <v>454</v>
      </c>
      <c r="Q28" s="25">
        <v>685</v>
      </c>
      <c r="R28" s="26" t="s">
        <v>45</v>
      </c>
      <c r="S28" s="25">
        <v>38535</v>
      </c>
      <c r="T28" s="26" t="s">
        <v>45</v>
      </c>
      <c r="U28" s="26" t="s">
        <v>45</v>
      </c>
      <c r="V28" s="25">
        <v>0</v>
      </c>
      <c r="W28" s="25">
        <v>1424</v>
      </c>
      <c r="X28" s="25">
        <v>6872</v>
      </c>
      <c r="Y28" s="26" t="s">
        <v>45</v>
      </c>
      <c r="Z28" s="25">
        <v>47973</v>
      </c>
      <c r="AA28" s="27">
        <v>1991</v>
      </c>
      <c r="AB28" s="25">
        <v>3582</v>
      </c>
      <c r="AC28" s="25">
        <v>210</v>
      </c>
      <c r="AD28" s="25">
        <v>785</v>
      </c>
      <c r="AE28" s="25">
        <v>28721</v>
      </c>
      <c r="AF28" s="25">
        <v>8436</v>
      </c>
      <c r="AG28" s="26" t="s">
        <v>45</v>
      </c>
      <c r="AH28" s="25">
        <v>208.7</v>
      </c>
      <c r="AI28" s="25">
        <v>2825</v>
      </c>
      <c r="AJ28" s="25">
        <v>44767.7</v>
      </c>
      <c r="AK28" s="27">
        <v>1991</v>
      </c>
      <c r="AL28" s="25">
        <v>753</v>
      </c>
      <c r="AM28" s="25">
        <v>105</v>
      </c>
      <c r="AN28" s="25">
        <v>8640</v>
      </c>
      <c r="AO28" s="25">
        <v>6717</v>
      </c>
      <c r="AP28" s="26" t="s">
        <v>45</v>
      </c>
      <c r="AQ28" s="25">
        <v>149.1</v>
      </c>
      <c r="AR28" s="25">
        <v>4456</v>
      </c>
      <c r="AS28" s="25">
        <v>20820.099999999999</v>
      </c>
      <c r="AT28" s="27">
        <v>1991</v>
      </c>
      <c r="AU28" s="25">
        <v>8605</v>
      </c>
      <c r="AV28" s="25">
        <v>4006</v>
      </c>
      <c r="AW28" s="25">
        <v>799</v>
      </c>
      <c r="AX28" s="25">
        <v>570</v>
      </c>
      <c r="AY28" s="25">
        <v>0</v>
      </c>
      <c r="AZ28" s="25">
        <v>49676</v>
      </c>
      <c r="BA28" s="25">
        <v>24170</v>
      </c>
      <c r="BB28" s="26" t="s">
        <v>45</v>
      </c>
      <c r="BC28" s="25">
        <v>466.5</v>
      </c>
      <c r="BD28" s="25">
        <v>63525</v>
      </c>
      <c r="BE28" s="25">
        <v>151817.5</v>
      </c>
      <c r="BF28" s="27">
        <v>1991</v>
      </c>
      <c r="BG28" s="47">
        <v>27280.527979207713</v>
      </c>
      <c r="BH28" s="26" t="s">
        <v>45</v>
      </c>
      <c r="BI28" s="47">
        <v>11254.472020792287</v>
      </c>
      <c r="BJ28" s="26" t="s">
        <v>45</v>
      </c>
      <c r="BK28" s="47"/>
      <c r="BL28" s="47"/>
    </row>
    <row r="29" spans="1:64">
      <c r="A29" s="24">
        <v>1992</v>
      </c>
      <c r="B29" s="25">
        <v>4375</v>
      </c>
      <c r="C29" s="25">
        <v>3601</v>
      </c>
      <c r="D29" s="25">
        <v>14</v>
      </c>
      <c r="E29" s="25">
        <v>534</v>
      </c>
      <c r="F29" s="25">
        <v>0</v>
      </c>
      <c r="G29" s="25">
        <v>11380</v>
      </c>
      <c r="H29" s="25">
        <v>8194</v>
      </c>
      <c r="I29" s="25"/>
      <c r="J29" s="25">
        <v>278.60000000000002</v>
      </c>
      <c r="K29" s="25">
        <v>8334</v>
      </c>
      <c r="L29" s="25">
        <v>36710.6</v>
      </c>
      <c r="M29" s="27">
        <v>1992</v>
      </c>
      <c r="N29" s="26" t="s">
        <v>45</v>
      </c>
      <c r="O29" s="25">
        <v>0</v>
      </c>
      <c r="P29" s="25">
        <v>461</v>
      </c>
      <c r="Q29" s="25">
        <v>715</v>
      </c>
      <c r="R29" s="26" t="s">
        <v>45</v>
      </c>
      <c r="S29" s="25">
        <v>39363</v>
      </c>
      <c r="T29" s="26" t="s">
        <v>45</v>
      </c>
      <c r="U29" s="26" t="s">
        <v>45</v>
      </c>
      <c r="V29" s="25">
        <v>0</v>
      </c>
      <c r="W29" s="25">
        <v>1377</v>
      </c>
      <c r="X29" s="25">
        <v>7435</v>
      </c>
      <c r="Y29" s="26" t="s">
        <v>45</v>
      </c>
      <c r="Z29" s="25">
        <v>49355</v>
      </c>
      <c r="AA29" s="27">
        <v>1992</v>
      </c>
      <c r="AB29" s="25">
        <v>3105</v>
      </c>
      <c r="AC29" s="25">
        <v>176</v>
      </c>
      <c r="AD29" s="25">
        <v>709</v>
      </c>
      <c r="AE29" s="25">
        <v>28389</v>
      </c>
      <c r="AF29" s="25">
        <v>8555</v>
      </c>
      <c r="AG29" s="26" t="s">
        <v>45</v>
      </c>
      <c r="AH29" s="25">
        <v>243.3</v>
      </c>
      <c r="AI29" s="25">
        <v>2889</v>
      </c>
      <c r="AJ29" s="25">
        <v>44066.3</v>
      </c>
      <c r="AK29" s="27">
        <v>1992</v>
      </c>
      <c r="AL29" s="25">
        <v>622</v>
      </c>
      <c r="AM29" s="25">
        <v>88</v>
      </c>
      <c r="AN29" s="25">
        <v>8585</v>
      </c>
      <c r="AO29" s="25">
        <v>6996</v>
      </c>
      <c r="AP29" s="26" t="s">
        <v>45</v>
      </c>
      <c r="AQ29" s="25">
        <v>150.19999999999999</v>
      </c>
      <c r="AR29" s="25">
        <v>4518</v>
      </c>
      <c r="AS29" s="25">
        <v>20959.2</v>
      </c>
      <c r="AT29" s="27">
        <v>1992</v>
      </c>
      <c r="AU29" s="25">
        <v>8101</v>
      </c>
      <c r="AV29" s="25">
        <v>3866</v>
      </c>
      <c r="AW29" s="25">
        <v>723</v>
      </c>
      <c r="AX29" s="25">
        <v>534</v>
      </c>
      <c r="AY29" s="25">
        <v>0</v>
      </c>
      <c r="AZ29" s="25">
        <v>48357</v>
      </c>
      <c r="BA29" s="25">
        <v>24206</v>
      </c>
      <c r="BB29" s="26" t="s">
        <v>45</v>
      </c>
      <c r="BC29" s="25">
        <v>672.10000000000014</v>
      </c>
      <c r="BD29" s="25">
        <v>64632</v>
      </c>
      <c r="BE29" s="25">
        <v>151091.1</v>
      </c>
      <c r="BF29" s="27">
        <v>1992</v>
      </c>
      <c r="BG29" s="47">
        <v>28007.020383967472</v>
      </c>
      <c r="BH29" s="26" t="s">
        <v>45</v>
      </c>
      <c r="BI29" s="47">
        <v>11355.97961603253</v>
      </c>
      <c r="BJ29" s="26" t="s">
        <v>45</v>
      </c>
      <c r="BK29" s="47"/>
      <c r="BL29" s="47"/>
    </row>
    <row r="30" spans="1:64">
      <c r="A30" s="24">
        <v>1993</v>
      </c>
      <c r="B30" s="25">
        <v>3553</v>
      </c>
      <c r="C30" s="25">
        <v>3613</v>
      </c>
      <c r="D30" s="25">
        <v>7</v>
      </c>
      <c r="E30" s="25">
        <v>560</v>
      </c>
      <c r="F30" s="25">
        <v>0</v>
      </c>
      <c r="G30" s="25">
        <v>11521</v>
      </c>
      <c r="H30" s="25">
        <v>8328</v>
      </c>
      <c r="I30" s="25"/>
      <c r="J30" s="25">
        <v>265.8</v>
      </c>
      <c r="K30" s="25">
        <v>8592</v>
      </c>
      <c r="L30" s="25">
        <v>36439.800000000003</v>
      </c>
      <c r="M30" s="27">
        <v>1993</v>
      </c>
      <c r="N30" s="26" t="s">
        <v>45</v>
      </c>
      <c r="O30" s="25">
        <v>0</v>
      </c>
      <c r="P30" s="25">
        <v>641</v>
      </c>
      <c r="Q30" s="25">
        <v>665</v>
      </c>
      <c r="R30" s="26" t="s">
        <v>45</v>
      </c>
      <c r="S30" s="25">
        <v>39502</v>
      </c>
      <c r="T30" s="26" t="s">
        <v>45</v>
      </c>
      <c r="U30" s="26" t="s">
        <v>45</v>
      </c>
      <c r="V30" s="25">
        <v>0</v>
      </c>
      <c r="W30" s="25">
        <v>1341</v>
      </c>
      <c r="X30" s="25">
        <v>7871</v>
      </c>
      <c r="Y30" s="26" t="s">
        <v>45</v>
      </c>
      <c r="Z30" s="25">
        <v>50024</v>
      </c>
      <c r="AA30" s="27">
        <v>1993</v>
      </c>
      <c r="AB30" s="25">
        <v>3498</v>
      </c>
      <c r="AC30" s="25">
        <v>147</v>
      </c>
      <c r="AD30" s="25">
        <v>751</v>
      </c>
      <c r="AE30" s="25">
        <v>29254</v>
      </c>
      <c r="AF30" s="25">
        <v>8639</v>
      </c>
      <c r="AG30" s="26" t="s">
        <v>45</v>
      </c>
      <c r="AH30" s="25">
        <v>240.6</v>
      </c>
      <c r="AI30" s="25">
        <v>3019</v>
      </c>
      <c r="AJ30" s="25">
        <v>45548.6</v>
      </c>
      <c r="AK30" s="27">
        <v>1993</v>
      </c>
      <c r="AL30" s="25">
        <v>566</v>
      </c>
      <c r="AM30" s="25">
        <v>74</v>
      </c>
      <c r="AN30" s="25">
        <v>8504</v>
      </c>
      <c r="AO30" s="25">
        <v>6999</v>
      </c>
      <c r="AP30" s="26" t="s">
        <v>45</v>
      </c>
      <c r="AQ30" s="25">
        <v>145.5</v>
      </c>
      <c r="AR30" s="25">
        <v>4446</v>
      </c>
      <c r="AS30" s="25">
        <v>20734.5</v>
      </c>
      <c r="AT30" s="27">
        <v>1993</v>
      </c>
      <c r="AU30" s="25">
        <v>7617</v>
      </c>
      <c r="AV30" s="25">
        <v>3833</v>
      </c>
      <c r="AW30" s="25">
        <v>758</v>
      </c>
      <c r="AX30" s="25">
        <v>560</v>
      </c>
      <c r="AY30" s="25">
        <v>0</v>
      </c>
      <c r="AZ30" s="25">
        <v>49282</v>
      </c>
      <c r="BA30" s="25">
        <v>24607</v>
      </c>
      <c r="BB30" s="26" t="s">
        <v>45</v>
      </c>
      <c r="BC30" s="25">
        <v>651.9</v>
      </c>
      <c r="BD30" s="25">
        <v>65437</v>
      </c>
      <c r="BE30" s="25">
        <v>152746.9</v>
      </c>
      <c r="BF30" s="27">
        <v>1993</v>
      </c>
      <c r="BG30" s="47">
        <v>28089.760643600257</v>
      </c>
      <c r="BH30" s="26" t="s">
        <v>45</v>
      </c>
      <c r="BI30" s="47">
        <v>11412.239356399745</v>
      </c>
      <c r="BJ30" s="26" t="s">
        <v>45</v>
      </c>
      <c r="BK30" s="47"/>
      <c r="BL30" s="47"/>
    </row>
    <row r="31" spans="1:64">
      <c r="A31" s="24">
        <v>1994</v>
      </c>
      <c r="B31" s="25">
        <v>3402</v>
      </c>
      <c r="C31" s="25">
        <v>3818</v>
      </c>
      <c r="D31" s="25">
        <v>194</v>
      </c>
      <c r="E31" s="25">
        <v>590</v>
      </c>
      <c r="F31" s="25">
        <v>0</v>
      </c>
      <c r="G31" s="25">
        <v>12885</v>
      </c>
      <c r="H31" s="25">
        <v>8082</v>
      </c>
      <c r="I31" s="25"/>
      <c r="J31" s="25">
        <v>487.3</v>
      </c>
      <c r="K31" s="25">
        <v>8253</v>
      </c>
      <c r="L31" s="25">
        <v>37711.300000000003</v>
      </c>
      <c r="M31" s="27">
        <v>1994</v>
      </c>
      <c r="N31" s="26" t="s">
        <v>45</v>
      </c>
      <c r="O31" s="25">
        <v>0</v>
      </c>
      <c r="P31" s="25">
        <v>599</v>
      </c>
      <c r="Q31" s="25">
        <v>651</v>
      </c>
      <c r="R31" s="26" t="s">
        <v>45</v>
      </c>
      <c r="S31" s="25">
        <v>39690</v>
      </c>
      <c r="T31" s="26" t="s">
        <v>45</v>
      </c>
      <c r="U31" s="26" t="s">
        <v>45</v>
      </c>
      <c r="V31" s="25">
        <v>0</v>
      </c>
      <c r="W31" s="25">
        <v>1239</v>
      </c>
      <c r="X31" s="25">
        <v>8070</v>
      </c>
      <c r="Y31" s="26" t="s">
        <v>45</v>
      </c>
      <c r="Z31" s="25">
        <v>50253</v>
      </c>
      <c r="AA31" s="27">
        <v>1994</v>
      </c>
      <c r="AB31" s="25">
        <v>2957</v>
      </c>
      <c r="AC31" s="25">
        <v>67</v>
      </c>
      <c r="AD31" s="25">
        <v>601</v>
      </c>
      <c r="AE31" s="25">
        <v>28355</v>
      </c>
      <c r="AF31" s="25">
        <v>8721</v>
      </c>
      <c r="AG31" s="26" t="s">
        <v>45</v>
      </c>
      <c r="AH31" s="25">
        <v>241.6</v>
      </c>
      <c r="AI31" s="25">
        <v>3004</v>
      </c>
      <c r="AJ31" s="25">
        <v>43946.6</v>
      </c>
      <c r="AK31" s="27">
        <v>1994</v>
      </c>
      <c r="AL31" s="25">
        <v>496</v>
      </c>
      <c r="AM31" s="25">
        <v>34</v>
      </c>
      <c r="AN31" s="25">
        <v>8695</v>
      </c>
      <c r="AO31" s="25">
        <v>6951</v>
      </c>
      <c r="AP31" s="26" t="s">
        <v>45</v>
      </c>
      <c r="AQ31" s="25">
        <v>172</v>
      </c>
      <c r="AR31" s="25">
        <v>4289</v>
      </c>
      <c r="AS31" s="25">
        <v>20637</v>
      </c>
      <c r="AT31" s="27">
        <v>1994</v>
      </c>
      <c r="AU31" s="25">
        <v>6855</v>
      </c>
      <c r="AV31" s="25">
        <v>3919</v>
      </c>
      <c r="AW31" s="25">
        <v>795</v>
      </c>
      <c r="AX31" s="25">
        <v>590</v>
      </c>
      <c r="AY31" s="25">
        <v>0</v>
      </c>
      <c r="AZ31" s="25">
        <v>49935</v>
      </c>
      <c r="BA31" s="25">
        <v>24353</v>
      </c>
      <c r="BB31" s="26" t="s">
        <v>45</v>
      </c>
      <c r="BC31" s="25">
        <v>900.9</v>
      </c>
      <c r="BD31" s="25">
        <v>65196</v>
      </c>
      <c r="BE31" s="25">
        <v>152547.9</v>
      </c>
      <c r="BF31" s="27">
        <v>1994</v>
      </c>
      <c r="BG31" s="47">
        <v>27880.629553015315</v>
      </c>
      <c r="BH31" s="26" t="s">
        <v>45</v>
      </c>
      <c r="BI31" s="47">
        <v>11809.370446984683</v>
      </c>
      <c r="BJ31" s="26" t="s">
        <v>45</v>
      </c>
      <c r="BK31" s="47"/>
      <c r="BL31" s="47"/>
    </row>
    <row r="32" spans="1:64">
      <c r="A32" s="24">
        <v>1995</v>
      </c>
      <c r="B32" s="25">
        <v>2840</v>
      </c>
      <c r="C32" s="25">
        <v>3750</v>
      </c>
      <c r="D32" s="25">
        <v>184</v>
      </c>
      <c r="E32" s="25">
        <v>576.49</v>
      </c>
      <c r="F32" s="25">
        <v>0</v>
      </c>
      <c r="G32" s="25">
        <v>12679.621668099731</v>
      </c>
      <c r="H32" s="25">
        <v>8654.4453998280333</v>
      </c>
      <c r="I32" s="25"/>
      <c r="J32" s="25">
        <v>525.9</v>
      </c>
      <c r="K32" s="25">
        <v>7066</v>
      </c>
      <c r="L32" s="25">
        <v>36276.457067927768</v>
      </c>
      <c r="M32" s="27">
        <v>1995</v>
      </c>
      <c r="N32" s="26" t="s">
        <v>45</v>
      </c>
      <c r="O32" s="25">
        <v>0</v>
      </c>
      <c r="P32" s="25">
        <v>636</v>
      </c>
      <c r="Q32" s="25">
        <v>654</v>
      </c>
      <c r="R32" s="26" t="s">
        <v>45</v>
      </c>
      <c r="S32" s="25">
        <v>39268</v>
      </c>
      <c r="T32" s="26" t="s">
        <v>45</v>
      </c>
      <c r="U32" s="26" t="s">
        <v>45</v>
      </c>
      <c r="V32" s="25">
        <v>0</v>
      </c>
      <c r="W32" s="25">
        <v>1193</v>
      </c>
      <c r="X32" s="25">
        <v>8485</v>
      </c>
      <c r="Y32" s="26" t="s">
        <v>45</v>
      </c>
      <c r="Z32" s="25">
        <v>50238</v>
      </c>
      <c r="AA32" s="27">
        <v>1995</v>
      </c>
      <c r="AB32" s="25">
        <v>2077</v>
      </c>
      <c r="AC32" s="25">
        <v>78</v>
      </c>
      <c r="AD32" s="25">
        <v>470</v>
      </c>
      <c r="AE32" s="25">
        <v>28037</v>
      </c>
      <c r="AF32" s="25">
        <v>8790</v>
      </c>
      <c r="AG32" s="26" t="s">
        <v>45</v>
      </c>
      <c r="AH32" s="25">
        <v>241.7</v>
      </c>
      <c r="AI32" s="25">
        <v>2997</v>
      </c>
      <c r="AJ32" s="25">
        <v>42690.7</v>
      </c>
      <c r="AK32" s="27">
        <v>1995</v>
      </c>
      <c r="AL32" s="25">
        <v>362</v>
      </c>
      <c r="AM32" s="25">
        <v>39</v>
      </c>
      <c r="AN32" s="25">
        <v>9374</v>
      </c>
      <c r="AO32" s="25">
        <v>7199</v>
      </c>
      <c r="AP32" s="26" t="s">
        <v>45</v>
      </c>
      <c r="AQ32" s="25">
        <v>188.8</v>
      </c>
      <c r="AR32" s="25">
        <v>4016</v>
      </c>
      <c r="AS32" s="25">
        <v>21178.799999999999</v>
      </c>
      <c r="AT32" s="27">
        <v>1995</v>
      </c>
      <c r="AU32" s="25">
        <v>5279</v>
      </c>
      <c r="AV32" s="25">
        <v>3867</v>
      </c>
      <c r="AW32" s="25">
        <v>654</v>
      </c>
      <c r="AX32" s="25">
        <v>576.49</v>
      </c>
      <c r="AY32" s="25">
        <v>0</v>
      </c>
      <c r="AZ32" s="25">
        <v>50090.621668099731</v>
      </c>
      <c r="BA32" s="25">
        <v>25279.445399828033</v>
      </c>
      <c r="BB32" s="26" t="s">
        <v>45</v>
      </c>
      <c r="BC32" s="25">
        <v>956.39999999999986</v>
      </c>
      <c r="BD32" s="25">
        <v>63679</v>
      </c>
      <c r="BE32" s="25">
        <v>150383.95706792775</v>
      </c>
      <c r="BF32" s="27">
        <v>1995</v>
      </c>
      <c r="BG32" s="47">
        <v>27575.052506473679</v>
      </c>
      <c r="BH32" s="26" t="s">
        <v>45</v>
      </c>
      <c r="BI32" s="47">
        <v>11692.947493526319</v>
      </c>
      <c r="BJ32" s="26" t="s">
        <v>45</v>
      </c>
      <c r="BK32" s="47"/>
      <c r="BL32" s="47"/>
    </row>
    <row r="33" spans="1:64">
      <c r="A33" s="24">
        <v>1996</v>
      </c>
      <c r="B33" s="25">
        <v>1959.4604401333877</v>
      </c>
      <c r="C33" s="25">
        <v>855.29747778733156</v>
      </c>
      <c r="D33" s="25">
        <v>232.80261775102701</v>
      </c>
      <c r="E33" s="25">
        <v>439.09986000000004</v>
      </c>
      <c r="F33" s="25">
        <v>0</v>
      </c>
      <c r="G33" s="25">
        <v>14080.851246775579</v>
      </c>
      <c r="H33" s="25">
        <v>9004.0835399999978</v>
      </c>
      <c r="I33" s="25"/>
      <c r="J33" s="25">
        <v>532.5</v>
      </c>
      <c r="K33" s="25">
        <v>7058.0414471449803</v>
      </c>
      <c r="L33" s="25">
        <v>34470.202969592305</v>
      </c>
      <c r="M33" s="27">
        <v>1996</v>
      </c>
      <c r="N33" s="26" t="s">
        <v>45</v>
      </c>
      <c r="O33" s="25">
        <v>0</v>
      </c>
      <c r="P33" s="25">
        <v>709.59294</v>
      </c>
      <c r="Q33" s="25">
        <v>628.58002699194799</v>
      </c>
      <c r="R33" s="26" t="s">
        <v>45</v>
      </c>
      <c r="S33" s="25">
        <v>40771.540699105928</v>
      </c>
      <c r="T33" s="26" t="s">
        <v>45</v>
      </c>
      <c r="U33" s="26" t="s">
        <v>45</v>
      </c>
      <c r="V33" s="25">
        <v>0</v>
      </c>
      <c r="W33" s="25">
        <v>1294.4309898408392</v>
      </c>
      <c r="X33" s="25">
        <v>8917.2345415825384</v>
      </c>
      <c r="Y33" s="26" t="s">
        <v>45</v>
      </c>
      <c r="Z33" s="25">
        <v>52321.379197521259</v>
      </c>
      <c r="AA33" s="27">
        <v>1996</v>
      </c>
      <c r="AB33" s="25">
        <v>2084.4311098952689</v>
      </c>
      <c r="AC33" s="25">
        <v>128.82869972293875</v>
      </c>
      <c r="AD33" s="25">
        <v>587.84202732397057</v>
      </c>
      <c r="AE33" s="25">
        <v>32316.543422184008</v>
      </c>
      <c r="AF33" s="25">
        <v>9243.96774</v>
      </c>
      <c r="AG33" s="26" t="s">
        <v>45</v>
      </c>
      <c r="AH33" s="25">
        <v>240.49999999999997</v>
      </c>
      <c r="AI33" s="25">
        <v>3517.7718230838232</v>
      </c>
      <c r="AJ33" s="25">
        <v>48119.884822210006</v>
      </c>
      <c r="AK33" s="27">
        <v>1996</v>
      </c>
      <c r="AL33" s="25">
        <v>384.68479760152331</v>
      </c>
      <c r="AM33" s="25">
        <v>0</v>
      </c>
      <c r="AN33" s="25">
        <v>10138.228718830611</v>
      </c>
      <c r="AO33" s="25">
        <v>7494.8765999999996</v>
      </c>
      <c r="AP33" s="26" t="s">
        <v>45</v>
      </c>
      <c r="AQ33" s="25">
        <v>181.30000000000004</v>
      </c>
      <c r="AR33" s="25">
        <v>3908.6701899903269</v>
      </c>
      <c r="AS33" s="25">
        <v>22107.76030642246</v>
      </c>
      <c r="AT33" s="27">
        <v>1996</v>
      </c>
      <c r="AU33" s="25">
        <v>4428.57634763018</v>
      </c>
      <c r="AV33" s="25">
        <v>984.12617751027028</v>
      </c>
      <c r="AW33" s="25">
        <v>820.64464507499758</v>
      </c>
      <c r="AX33" s="25">
        <v>439.09986000000004</v>
      </c>
      <c r="AY33" s="25">
        <v>0</v>
      </c>
      <c r="AZ33" s="25">
        <v>56535.623387790198</v>
      </c>
      <c r="BA33" s="25">
        <v>26452.520819999998</v>
      </c>
      <c r="BB33" s="26" t="s">
        <v>45</v>
      </c>
      <c r="BC33" s="25">
        <v>954.30000000000007</v>
      </c>
      <c r="BD33" s="25">
        <v>66096.269717740375</v>
      </c>
      <c r="BE33" s="25">
        <v>157019.22729574601</v>
      </c>
      <c r="BF33" s="27">
        <v>1996</v>
      </c>
      <c r="BG33" s="47">
        <v>28662.569808093456</v>
      </c>
      <c r="BH33" s="26" t="s">
        <v>45</v>
      </c>
      <c r="BI33" s="47">
        <v>12108.970891012474</v>
      </c>
      <c r="BJ33" s="26" t="s">
        <v>45</v>
      </c>
      <c r="BK33" s="47"/>
      <c r="BL33" s="47"/>
    </row>
    <row r="34" spans="1:64">
      <c r="A34" s="24">
        <v>1997</v>
      </c>
      <c r="B34" s="25">
        <v>1963.1071607044119</v>
      </c>
      <c r="C34" s="25">
        <v>787.26870163370586</v>
      </c>
      <c r="D34" s="25">
        <v>248.88711780744961</v>
      </c>
      <c r="E34" s="25">
        <v>457.17970765262254</v>
      </c>
      <c r="F34" s="25">
        <v>0</v>
      </c>
      <c r="G34" s="25">
        <v>14754.084264832329</v>
      </c>
      <c r="H34" s="25">
        <v>9188.6500429922598</v>
      </c>
      <c r="I34" s="25"/>
      <c r="J34" s="25">
        <v>532</v>
      </c>
      <c r="K34" s="25">
        <v>6314.6608698091777</v>
      </c>
      <c r="L34" s="25">
        <v>34577.480169817172</v>
      </c>
      <c r="M34" s="27">
        <v>1997</v>
      </c>
      <c r="N34" s="26" t="s">
        <v>45</v>
      </c>
      <c r="O34" s="25">
        <v>0</v>
      </c>
      <c r="P34" s="25">
        <v>729.14875322441958</v>
      </c>
      <c r="Q34" s="25">
        <v>515.94343317983123</v>
      </c>
      <c r="R34" s="26" t="s">
        <v>45</v>
      </c>
      <c r="S34" s="25">
        <v>41259.448133880949</v>
      </c>
      <c r="T34" s="26" t="s">
        <v>45</v>
      </c>
      <c r="U34" s="26" t="s">
        <v>45</v>
      </c>
      <c r="V34" s="25">
        <v>0</v>
      </c>
      <c r="W34" s="25">
        <v>1255.692903505746</v>
      </c>
      <c r="X34" s="25">
        <v>9322.297282639609</v>
      </c>
      <c r="Y34" s="26" t="s">
        <v>45</v>
      </c>
      <c r="Z34" s="25">
        <v>53082.530506430558</v>
      </c>
      <c r="AA34" s="27">
        <v>1997</v>
      </c>
      <c r="AB34" s="25">
        <v>1992.2624096867032</v>
      </c>
      <c r="AC34" s="25">
        <v>59.076144071844844</v>
      </c>
      <c r="AD34" s="25">
        <v>418.57429538167571</v>
      </c>
      <c r="AE34" s="25">
        <v>29710.404127257094</v>
      </c>
      <c r="AF34" s="25">
        <v>8981.5133276010311</v>
      </c>
      <c r="AG34" s="26" t="s">
        <v>45</v>
      </c>
      <c r="AH34" s="25">
        <v>224.82</v>
      </c>
      <c r="AI34" s="25">
        <v>3388.7388704090476</v>
      </c>
      <c r="AJ34" s="25">
        <v>44775.389174407392</v>
      </c>
      <c r="AK34" s="27">
        <v>1997</v>
      </c>
      <c r="AL34" s="25">
        <v>375.42882467414279</v>
      </c>
      <c r="AM34" s="25">
        <v>0</v>
      </c>
      <c r="AN34" s="25">
        <v>9697.0765262252862</v>
      </c>
      <c r="AO34" s="25">
        <v>7859.3293207222669</v>
      </c>
      <c r="AP34" s="26" t="s">
        <v>45</v>
      </c>
      <c r="AQ34" s="25">
        <v>173.63439380911439</v>
      </c>
      <c r="AR34" s="25">
        <v>3361.516395428313</v>
      </c>
      <c r="AS34" s="25">
        <v>21466.985460859127</v>
      </c>
      <c r="AT34" s="27">
        <v>1997</v>
      </c>
      <c r="AU34" s="25">
        <v>4330.7983950652579</v>
      </c>
      <c r="AV34" s="25">
        <v>846.34484570555071</v>
      </c>
      <c r="AW34" s="25">
        <v>667.46141318912532</v>
      </c>
      <c r="AX34" s="25">
        <v>457.17970765262254</v>
      </c>
      <c r="AY34" s="25">
        <v>0</v>
      </c>
      <c r="AZ34" s="25">
        <v>54161.564918314703</v>
      </c>
      <c r="BA34" s="25">
        <v>26758.641444539979</v>
      </c>
      <c r="BB34" s="26" t="s">
        <v>45</v>
      </c>
      <c r="BC34" s="25">
        <v>930.45439380911432</v>
      </c>
      <c r="BD34" s="25">
        <v>65418.29788885267</v>
      </c>
      <c r="BE34" s="25">
        <v>153902.38531151426</v>
      </c>
      <c r="BF34" s="27">
        <v>1997</v>
      </c>
      <c r="BG34" s="47">
        <v>28912.613534916847</v>
      </c>
      <c r="BH34" s="26" t="s">
        <v>45</v>
      </c>
      <c r="BI34" s="47">
        <v>12346.834598964106</v>
      </c>
      <c r="BJ34" s="26" t="s">
        <v>45</v>
      </c>
      <c r="BK34" s="47"/>
      <c r="BL34" s="47"/>
    </row>
    <row r="35" spans="1:64">
      <c r="A35" s="24">
        <v>1998</v>
      </c>
      <c r="B35" s="25">
        <v>1606.8251093521819</v>
      </c>
      <c r="C35" s="25">
        <v>803.21486576860605</v>
      </c>
      <c r="D35" s="25">
        <v>242.79659883443207</v>
      </c>
      <c r="E35" s="25">
        <v>384.86672398968182</v>
      </c>
      <c r="F35" s="25">
        <v>0</v>
      </c>
      <c r="G35" s="25">
        <v>15140.498710232157</v>
      </c>
      <c r="H35" s="25">
        <v>9215.5631986242479</v>
      </c>
      <c r="I35" s="25"/>
      <c r="J35" s="25">
        <v>460.9</v>
      </c>
      <c r="K35" s="25">
        <v>6379.1577292778093</v>
      </c>
      <c r="L35" s="25">
        <v>34512.154836337068</v>
      </c>
      <c r="M35" s="27">
        <v>1998</v>
      </c>
      <c r="N35" s="26" t="s">
        <v>45</v>
      </c>
      <c r="O35" s="25">
        <v>0</v>
      </c>
      <c r="P35" s="25">
        <v>731.81427343078246</v>
      </c>
      <c r="Q35" s="25">
        <v>607.62014914699739</v>
      </c>
      <c r="R35" s="26" t="s">
        <v>45</v>
      </c>
      <c r="S35" s="25">
        <v>41020.32788860162</v>
      </c>
      <c r="T35" s="26" t="s">
        <v>45</v>
      </c>
      <c r="U35" s="26" t="s">
        <v>45</v>
      </c>
      <c r="V35" s="25">
        <v>0</v>
      </c>
      <c r="W35" s="25">
        <v>1175.2567727028227</v>
      </c>
      <c r="X35" s="25">
        <v>10236.967389892863</v>
      </c>
      <c r="Y35" s="26" t="s">
        <v>45</v>
      </c>
      <c r="Z35" s="25">
        <v>53771.98647377509</v>
      </c>
      <c r="AA35" s="27">
        <v>1998</v>
      </c>
      <c r="AB35" s="25">
        <v>1818.9019383406535</v>
      </c>
      <c r="AC35" s="25">
        <v>85.411292633992545</v>
      </c>
      <c r="AD35" s="25">
        <v>439.42481131174162</v>
      </c>
      <c r="AE35" s="25">
        <v>30601.461736887359</v>
      </c>
      <c r="AF35" s="25">
        <v>9407.5666380051589</v>
      </c>
      <c r="AG35" s="26" t="s">
        <v>45</v>
      </c>
      <c r="AH35" s="25">
        <v>230</v>
      </c>
      <c r="AI35" s="25">
        <v>3543.1268719592022</v>
      </c>
      <c r="AJ35" s="25">
        <v>46125.893289138112</v>
      </c>
      <c r="AK35" s="27">
        <v>1998</v>
      </c>
      <c r="AL35" s="25">
        <v>290.50709040852553</v>
      </c>
      <c r="AM35" s="25">
        <v>0</v>
      </c>
      <c r="AN35" s="25">
        <v>10113.843508168531</v>
      </c>
      <c r="AO35" s="25">
        <v>7788.4780739466878</v>
      </c>
      <c r="AP35" s="26" t="s">
        <v>45</v>
      </c>
      <c r="AQ35" s="25">
        <v>174.24</v>
      </c>
      <c r="AR35" s="25">
        <v>3144.0476081208467</v>
      </c>
      <c r="AS35" s="25">
        <v>21511.116280644594</v>
      </c>
      <c r="AT35" s="27">
        <v>1998</v>
      </c>
      <c r="AU35" s="25">
        <v>3716.2341381013607</v>
      </c>
      <c r="AV35" s="25">
        <v>888.62615840259855</v>
      </c>
      <c r="AW35" s="25">
        <v>682.22141014617364</v>
      </c>
      <c r="AX35" s="25">
        <v>384.86672398968182</v>
      </c>
      <c r="AY35" s="25">
        <v>0</v>
      </c>
      <c r="AZ35" s="25">
        <v>55855.803955288051</v>
      </c>
      <c r="BA35" s="25">
        <v>27143.422184006879</v>
      </c>
      <c r="BB35" s="26" t="s">
        <v>45</v>
      </c>
      <c r="BC35" s="25">
        <v>865.14</v>
      </c>
      <c r="BD35" s="25">
        <v>66106.50440970216</v>
      </c>
      <c r="BE35" s="25">
        <v>155921.15087989485</v>
      </c>
      <c r="BF35" s="27">
        <v>1998</v>
      </c>
      <c r="BG35" s="47">
        <v>28792.658559792606</v>
      </c>
      <c r="BH35" s="26" t="s">
        <v>45</v>
      </c>
      <c r="BI35" s="47">
        <v>12227.669328809012</v>
      </c>
      <c r="BJ35" s="26" t="s">
        <v>45</v>
      </c>
      <c r="BK35" s="47"/>
      <c r="BL35" s="47"/>
    </row>
    <row r="36" spans="1:64">
      <c r="A36" s="24">
        <v>1999</v>
      </c>
      <c r="B36" s="25">
        <v>1353.4860278212195</v>
      </c>
      <c r="C36" s="25">
        <v>819.69045571797074</v>
      </c>
      <c r="D36" s="25">
        <v>215.26268271711092</v>
      </c>
      <c r="E36" s="25">
        <v>205.07308684436799</v>
      </c>
      <c r="F36" s="25">
        <v>0</v>
      </c>
      <c r="G36" s="25">
        <v>15203.353396388648</v>
      </c>
      <c r="H36" s="25">
        <v>9542.3903697334481</v>
      </c>
      <c r="I36" s="25">
        <v>1086.1661188306107</v>
      </c>
      <c r="J36" s="25">
        <v>283.2</v>
      </c>
      <c r="K36" s="25">
        <v>5374.2926994359959</v>
      </c>
      <c r="L36" s="25">
        <v>34221.865826311383</v>
      </c>
      <c r="M36" s="27">
        <v>1999</v>
      </c>
      <c r="N36" s="26" t="s">
        <v>45</v>
      </c>
      <c r="O36" s="25">
        <v>0</v>
      </c>
      <c r="P36" s="25">
        <v>737.65326741186573</v>
      </c>
      <c r="Q36" s="25">
        <v>632.31389741147257</v>
      </c>
      <c r="R36" s="26" t="s">
        <v>45</v>
      </c>
      <c r="S36" s="25">
        <v>41398.592592669564</v>
      </c>
      <c r="T36" s="26" t="s">
        <v>45</v>
      </c>
      <c r="U36" s="26" t="s">
        <v>45</v>
      </c>
      <c r="V36" s="25">
        <v>0</v>
      </c>
      <c r="W36" s="25">
        <v>1067.2426473404764</v>
      </c>
      <c r="X36" s="25">
        <v>11017.294629624945</v>
      </c>
      <c r="Y36" s="26" t="s">
        <v>45</v>
      </c>
      <c r="Z36" s="25">
        <v>54853.097034458326</v>
      </c>
      <c r="AA36" s="27">
        <v>1999</v>
      </c>
      <c r="AB36" s="25">
        <v>1915.7779970188099</v>
      </c>
      <c r="AC36" s="25">
        <v>86.123053405942485</v>
      </c>
      <c r="AD36" s="25">
        <v>409.68825833572174</v>
      </c>
      <c r="AE36" s="25">
        <v>30788.134135855544</v>
      </c>
      <c r="AF36" s="25">
        <v>9484.7807394668962</v>
      </c>
      <c r="AG36" s="25">
        <v>43.615256749785033</v>
      </c>
      <c r="AH36" s="25">
        <v>230.36199999999997</v>
      </c>
      <c r="AI36" s="25">
        <v>3162.3480387070458</v>
      </c>
      <c r="AJ36" s="25">
        <v>46120.829479539738</v>
      </c>
      <c r="AK36" s="27">
        <v>1999</v>
      </c>
      <c r="AL36" s="25">
        <v>189.01528873021516</v>
      </c>
      <c r="AM36" s="25">
        <v>0</v>
      </c>
      <c r="AN36" s="25">
        <v>9156.2338779019774</v>
      </c>
      <c r="AO36" s="25">
        <v>7986.1564918314725</v>
      </c>
      <c r="AP36" s="25">
        <v>1368.2208232158212</v>
      </c>
      <c r="AQ36" s="25">
        <v>174.29999999999995</v>
      </c>
      <c r="AR36" s="25">
        <v>2463.9681997438693</v>
      </c>
      <c r="AS36" s="25">
        <v>21337.894681423357</v>
      </c>
      <c r="AT36" s="27">
        <v>1999</v>
      </c>
      <c r="AU36" s="25">
        <v>3458.2793135702445</v>
      </c>
      <c r="AV36" s="25">
        <v>905.81350912391326</v>
      </c>
      <c r="AW36" s="25">
        <v>624.9509410528326</v>
      </c>
      <c r="AX36" s="25">
        <v>205.07308684436799</v>
      </c>
      <c r="AY36" s="25">
        <v>0</v>
      </c>
      <c r="AZ36" s="25">
        <v>55147.721410146172</v>
      </c>
      <c r="BA36" s="25">
        <v>27750.980868443683</v>
      </c>
      <c r="BB36" s="25">
        <v>2498.0021987962168</v>
      </c>
      <c r="BC36" s="25">
        <v>687.86199999999985</v>
      </c>
      <c r="BD36" s="25">
        <v>65116.052704933369</v>
      </c>
      <c r="BE36" s="25">
        <v>156533.6870217328</v>
      </c>
      <c r="BF36" s="27">
        <v>1999</v>
      </c>
      <c r="BG36" s="47">
        <v>29214.369551104715</v>
      </c>
      <c r="BH36" s="26" t="s">
        <v>45</v>
      </c>
      <c r="BI36" s="47">
        <v>12184.223041564848</v>
      </c>
      <c r="BJ36" s="26" t="s">
        <v>45</v>
      </c>
      <c r="BK36" s="47"/>
      <c r="BL36" s="47"/>
    </row>
    <row r="37" spans="1:64">
      <c r="A37" s="24">
        <v>2000</v>
      </c>
      <c r="B37" s="25">
        <v>1227.7435056157328</v>
      </c>
      <c r="C37" s="25">
        <v>753.44893474730111</v>
      </c>
      <c r="D37" s="25">
        <v>224.94387121429247</v>
      </c>
      <c r="E37" s="25">
        <v>216.2510748065348</v>
      </c>
      <c r="F37" s="25">
        <v>0</v>
      </c>
      <c r="G37" s="25">
        <v>15773.086844368016</v>
      </c>
      <c r="H37" s="25">
        <v>9811.9518486672387</v>
      </c>
      <c r="I37" s="25">
        <v>1099.4159071367155</v>
      </c>
      <c r="J37" s="25">
        <v>264.06</v>
      </c>
      <c r="K37" s="25">
        <v>6039.4734330869005</v>
      </c>
      <c r="L37" s="25">
        <v>35506.162178026221</v>
      </c>
      <c r="M37" s="27">
        <v>2000</v>
      </c>
      <c r="N37" s="26" t="s">
        <v>45</v>
      </c>
      <c r="O37" s="25">
        <v>0</v>
      </c>
      <c r="P37" s="25">
        <v>741.44453998280301</v>
      </c>
      <c r="Q37" s="25">
        <v>638.84433108777409</v>
      </c>
      <c r="R37" s="26" t="s">
        <v>45</v>
      </c>
      <c r="S37" s="25">
        <v>41070.65569657497</v>
      </c>
      <c r="T37" s="26" t="s">
        <v>45</v>
      </c>
      <c r="U37" s="26" t="s">
        <v>45</v>
      </c>
      <c r="V37" s="25">
        <v>0</v>
      </c>
      <c r="W37" s="25">
        <v>1032.4496257317489</v>
      </c>
      <c r="X37" s="25">
        <v>11977.722693369014</v>
      </c>
      <c r="Y37" s="26" t="s">
        <v>45</v>
      </c>
      <c r="Z37" s="25">
        <v>55461.116886746313</v>
      </c>
      <c r="AA37" s="27">
        <v>2000</v>
      </c>
      <c r="AB37" s="25">
        <v>1448.2970743317337</v>
      </c>
      <c r="AC37" s="25">
        <v>94.664182669341741</v>
      </c>
      <c r="AD37" s="25">
        <v>365.25355880385968</v>
      </c>
      <c r="AE37" s="25">
        <v>31806.448839208941</v>
      </c>
      <c r="AF37" s="25">
        <v>9616.6809974204643</v>
      </c>
      <c r="AG37" s="25">
        <v>44.414961306964749</v>
      </c>
      <c r="AH37" s="25">
        <v>236.02500000000001</v>
      </c>
      <c r="AI37" s="25">
        <v>3239.3917008538378</v>
      </c>
      <c r="AJ37" s="25">
        <v>46851.176314595155</v>
      </c>
      <c r="AK37" s="27">
        <v>2000</v>
      </c>
      <c r="AL37" s="25">
        <v>57.151071998584939</v>
      </c>
      <c r="AM37" s="25">
        <v>0</v>
      </c>
      <c r="AN37" s="25">
        <v>9497.506448839209</v>
      </c>
      <c r="AO37" s="25">
        <v>8154.9441100601889</v>
      </c>
      <c r="AP37" s="25">
        <v>1371.0910576096303</v>
      </c>
      <c r="AQ37" s="25">
        <v>171.98</v>
      </c>
      <c r="AR37" s="25">
        <v>2294.2147039860952</v>
      </c>
      <c r="AS37" s="25">
        <v>21546.887392493703</v>
      </c>
      <c r="AT37" s="27">
        <v>2000</v>
      </c>
      <c r="AU37" s="25">
        <v>2733.1916519460515</v>
      </c>
      <c r="AV37" s="25">
        <v>848.11311741664281</v>
      </c>
      <c r="AW37" s="25">
        <v>590.19743001815209</v>
      </c>
      <c r="AX37" s="25">
        <v>216.2510748065348</v>
      </c>
      <c r="AY37" s="25">
        <v>0</v>
      </c>
      <c r="AZ37" s="25">
        <v>57077.042132416165</v>
      </c>
      <c r="BA37" s="25">
        <v>28325.021496130699</v>
      </c>
      <c r="BB37" s="25">
        <v>2514.92192605331</v>
      </c>
      <c r="BC37" s="25">
        <v>672.06500000000005</v>
      </c>
      <c r="BD37" s="25">
        <v>66292.752184690355</v>
      </c>
      <c r="BE37" s="25">
        <v>159365.34277186138</v>
      </c>
      <c r="BF37" s="27">
        <v>2000</v>
      </c>
      <c r="BG37" s="47">
        <v>29006.741376577527</v>
      </c>
      <c r="BH37" s="26" t="s">
        <v>45</v>
      </c>
      <c r="BI37" s="47">
        <v>12063.914319997448</v>
      </c>
      <c r="BJ37" s="26" t="s">
        <v>45</v>
      </c>
      <c r="BK37" s="47"/>
      <c r="BL37" s="47"/>
    </row>
    <row r="38" spans="1:64">
      <c r="A38" s="24">
        <v>2001</v>
      </c>
      <c r="B38" s="25">
        <v>1194.9551082855401</v>
      </c>
      <c r="C38" s="25">
        <v>718.59176459348419</v>
      </c>
      <c r="D38" s="25">
        <v>210.29304003057223</v>
      </c>
      <c r="E38" s="25">
        <v>154.25623387790196</v>
      </c>
      <c r="F38" s="25">
        <v>0</v>
      </c>
      <c r="G38" s="25">
        <v>15463.714531384348</v>
      </c>
      <c r="H38" s="25">
        <v>9573.34479793637</v>
      </c>
      <c r="I38" s="25">
        <v>1001.227128116939</v>
      </c>
      <c r="J38" s="25">
        <v>243.07</v>
      </c>
      <c r="K38" s="25">
        <v>6611.0456630972494</v>
      </c>
      <c r="L38" s="25">
        <v>35442.639281939766</v>
      </c>
      <c r="M38" s="27">
        <v>2001</v>
      </c>
      <c r="N38" s="26" t="s">
        <v>45</v>
      </c>
      <c r="O38" s="25">
        <v>0</v>
      </c>
      <c r="P38" s="25">
        <v>759.07136715391221</v>
      </c>
      <c r="Q38" s="25">
        <v>664.25644356869179</v>
      </c>
      <c r="R38" s="26" t="s">
        <v>45</v>
      </c>
      <c r="S38" s="25">
        <v>41096.560427636476</v>
      </c>
      <c r="T38" s="26" t="s">
        <v>45</v>
      </c>
      <c r="U38" s="26" t="s">
        <v>45</v>
      </c>
      <c r="V38" s="25">
        <v>0</v>
      </c>
      <c r="W38" s="25">
        <v>843.88785290009378</v>
      </c>
      <c r="X38" s="25">
        <v>11773.505351470245</v>
      </c>
      <c r="Y38" s="26" t="s">
        <v>45</v>
      </c>
      <c r="Z38" s="25">
        <v>55137.281442729422</v>
      </c>
      <c r="AA38" s="27">
        <v>2001</v>
      </c>
      <c r="AB38" s="25">
        <v>1461.1878141354796</v>
      </c>
      <c r="AC38" s="25">
        <v>47.687971720645841</v>
      </c>
      <c r="AD38" s="25">
        <v>328.27051686252025</v>
      </c>
      <c r="AE38" s="25">
        <v>32624.763542562338</v>
      </c>
      <c r="AF38" s="25">
        <v>9917.1969045571786</v>
      </c>
      <c r="AG38" s="25">
        <v>31.877487446259675</v>
      </c>
      <c r="AH38" s="25">
        <v>240.44</v>
      </c>
      <c r="AI38" s="25">
        <v>3526.9046276978524</v>
      </c>
      <c r="AJ38" s="25">
        <v>48178.328864982279</v>
      </c>
      <c r="AK38" s="27">
        <v>2001</v>
      </c>
      <c r="AL38" s="25">
        <v>47.462079044206803</v>
      </c>
      <c r="AM38" s="25">
        <v>0</v>
      </c>
      <c r="AN38" s="25">
        <v>9725.7953568357698</v>
      </c>
      <c r="AO38" s="25">
        <v>8359.3293207222705</v>
      </c>
      <c r="AP38" s="25">
        <v>1294.078807394669</v>
      </c>
      <c r="AQ38" s="25">
        <v>172.53000000000003</v>
      </c>
      <c r="AR38" s="25">
        <v>2568.2855818610378</v>
      </c>
      <c r="AS38" s="25">
        <v>22167.48114585795</v>
      </c>
      <c r="AT38" s="27">
        <v>2001</v>
      </c>
      <c r="AU38" s="25">
        <v>2703.6050014652265</v>
      </c>
      <c r="AV38" s="25">
        <v>766.27973631412999</v>
      </c>
      <c r="AW38" s="25">
        <v>538.56355689309248</v>
      </c>
      <c r="AX38" s="25">
        <v>154.25623387790196</v>
      </c>
      <c r="AY38" s="25">
        <v>0</v>
      </c>
      <c r="AZ38" s="25">
        <v>57814.273430782458</v>
      </c>
      <c r="BA38" s="25">
        <v>28608.942390369732</v>
      </c>
      <c r="BB38" s="25">
        <v>2327.1834229578676</v>
      </c>
      <c r="BC38" s="25">
        <v>656.04</v>
      </c>
      <c r="BD38" s="25">
        <v>67084.445948231645</v>
      </c>
      <c r="BE38" s="25">
        <v>160925.73073550942</v>
      </c>
      <c r="BF38" s="27">
        <v>2001</v>
      </c>
      <c r="BG38" s="47">
        <v>29024.964141364351</v>
      </c>
      <c r="BH38" s="26" t="s">
        <v>45</v>
      </c>
      <c r="BI38" s="47">
        <v>12071.59628627213</v>
      </c>
      <c r="BJ38" s="26" t="s">
        <v>45</v>
      </c>
      <c r="BK38" s="47"/>
      <c r="BL38" s="47"/>
    </row>
    <row r="39" spans="1:64">
      <c r="A39" s="24">
        <v>2002</v>
      </c>
      <c r="B39" s="25">
        <v>1185.6830485784485</v>
      </c>
      <c r="C39" s="25">
        <v>610.41470062061512</v>
      </c>
      <c r="D39" s="25">
        <v>169.9778064871698</v>
      </c>
      <c r="E39" s="25">
        <v>78.182356285427431</v>
      </c>
      <c r="F39" s="25">
        <v>0</v>
      </c>
      <c r="G39" s="25">
        <v>14201.691417826751</v>
      </c>
      <c r="H39" s="25">
        <v>9472.7208284391436</v>
      </c>
      <c r="I39" s="25">
        <v>1320.6416165090284</v>
      </c>
      <c r="J39" s="25">
        <v>250.03</v>
      </c>
      <c r="K39" s="25">
        <v>6248.2606866719052</v>
      </c>
      <c r="L39" s="25">
        <v>33763.892336337347</v>
      </c>
      <c r="M39" s="27">
        <v>2002</v>
      </c>
      <c r="N39" s="26" t="s">
        <v>45</v>
      </c>
      <c r="O39" s="25">
        <v>0</v>
      </c>
      <c r="P39" s="25">
        <v>726.93742107954813</v>
      </c>
      <c r="Q39" s="25">
        <v>661.6168549795301</v>
      </c>
      <c r="R39" s="26" t="s">
        <v>45</v>
      </c>
      <c r="S39" s="25">
        <v>41936.080608409269</v>
      </c>
      <c r="T39" s="26" t="s">
        <v>45</v>
      </c>
      <c r="U39" s="26" t="s">
        <v>45</v>
      </c>
      <c r="V39" s="25">
        <v>0</v>
      </c>
      <c r="W39" s="25">
        <v>702.45953225731046</v>
      </c>
      <c r="X39" s="25">
        <v>11657.751483667444</v>
      </c>
      <c r="Y39" s="26" t="s">
        <v>45</v>
      </c>
      <c r="Z39" s="25">
        <v>55684.845900393098</v>
      </c>
      <c r="AA39" s="27">
        <v>2002</v>
      </c>
      <c r="AB39" s="25">
        <v>1009.0795121455683</v>
      </c>
      <c r="AC39" s="25">
        <v>126.73296761109776</v>
      </c>
      <c r="AD39" s="25">
        <v>289.26107608699192</v>
      </c>
      <c r="AE39" s="25">
        <v>32362.161876887574</v>
      </c>
      <c r="AF39" s="25">
        <v>10319.3815133276</v>
      </c>
      <c r="AG39" s="25">
        <v>33.190025795356831</v>
      </c>
      <c r="AH39" s="25">
        <v>243.34900000000002</v>
      </c>
      <c r="AI39" s="25">
        <v>3087.4552215727704</v>
      </c>
      <c r="AJ39" s="25">
        <v>47470.611193426965</v>
      </c>
      <c r="AK39" s="27">
        <v>2002</v>
      </c>
      <c r="AL39" s="25">
        <v>14.474856226793918</v>
      </c>
      <c r="AM39" s="25">
        <v>0</v>
      </c>
      <c r="AN39" s="25">
        <v>8670.1263289244343</v>
      </c>
      <c r="AO39" s="25">
        <v>8148.308290031302</v>
      </c>
      <c r="AP39" s="25">
        <v>730.05692175408421</v>
      </c>
      <c r="AQ39" s="25">
        <v>188.27</v>
      </c>
      <c r="AR39" s="25">
        <v>1805.0881183871893</v>
      </c>
      <c r="AS39" s="25">
        <v>19556.324515323806</v>
      </c>
      <c r="AT39" s="27">
        <v>2002</v>
      </c>
      <c r="AU39" s="25">
        <v>2209.2374169508112</v>
      </c>
      <c r="AV39" s="25">
        <v>737.14766823171294</v>
      </c>
      <c r="AW39" s="25">
        <v>459.23888257416172</v>
      </c>
      <c r="AX39" s="25">
        <v>78.182356285427431</v>
      </c>
      <c r="AY39" s="25">
        <v>0</v>
      </c>
      <c r="AZ39" s="25">
        <v>55233.979623638763</v>
      </c>
      <c r="BA39" s="25">
        <v>28667.348052877594</v>
      </c>
      <c r="BB39" s="25">
        <v>2083.8885640584695</v>
      </c>
      <c r="BC39" s="25">
        <v>681.649</v>
      </c>
      <c r="BD39" s="25">
        <v>66098.712505945412</v>
      </c>
      <c r="BE39" s="25">
        <v>156475.67394548122</v>
      </c>
      <c r="BF39" s="27">
        <v>2002</v>
      </c>
      <c r="BG39" s="47">
        <v>29640.40757374249</v>
      </c>
      <c r="BH39" s="26" t="s">
        <v>45</v>
      </c>
      <c r="BI39" s="47">
        <v>12295.673034666775</v>
      </c>
      <c r="BJ39" s="26" t="s">
        <v>45</v>
      </c>
      <c r="BK39" s="47"/>
      <c r="BL39" s="47"/>
    </row>
    <row r="40" spans="1:64">
      <c r="A40" s="24">
        <v>2003</v>
      </c>
      <c r="B40" s="25">
        <v>1247.9660292310678</v>
      </c>
      <c r="C40" s="25">
        <v>588.60115832873737</v>
      </c>
      <c r="D40" s="25">
        <v>165.57056122429356</v>
      </c>
      <c r="E40" s="25">
        <v>53.189439497637615</v>
      </c>
      <c r="F40" s="25">
        <v>0</v>
      </c>
      <c r="G40" s="25">
        <v>14292.024855908719</v>
      </c>
      <c r="H40" s="25">
        <v>9396.2491433873474</v>
      </c>
      <c r="I40" s="25">
        <v>1128.3124710266552</v>
      </c>
      <c r="J40" s="25">
        <v>266.69</v>
      </c>
      <c r="K40" s="25">
        <v>6899.2176642987406</v>
      </c>
      <c r="L40" s="25">
        <v>34074.19348748801</v>
      </c>
      <c r="M40" s="27">
        <v>2003</v>
      </c>
      <c r="N40" s="26" t="s">
        <v>45</v>
      </c>
      <c r="O40" s="25">
        <v>0</v>
      </c>
      <c r="P40" s="25">
        <v>706.1405644624125</v>
      </c>
      <c r="Q40" s="25">
        <v>666.90825068050117</v>
      </c>
      <c r="R40" s="26" t="s">
        <v>45</v>
      </c>
      <c r="S40" s="25">
        <v>41822.642350399277</v>
      </c>
      <c r="T40" s="26" t="s">
        <v>45</v>
      </c>
      <c r="U40" s="26" t="s">
        <v>45</v>
      </c>
      <c r="V40" s="25">
        <v>0</v>
      </c>
      <c r="W40" s="25">
        <v>1234.3120493422707</v>
      </c>
      <c r="X40" s="25">
        <v>11935.784293723171</v>
      </c>
      <c r="Y40" s="26" t="s">
        <v>45</v>
      </c>
      <c r="Z40" s="25">
        <v>56365.787508607631</v>
      </c>
      <c r="AA40" s="27">
        <v>2003</v>
      </c>
      <c r="AB40" s="25">
        <v>812.73438969953281</v>
      </c>
      <c r="AC40" s="25">
        <v>91.536998041717396</v>
      </c>
      <c r="AD40" s="25">
        <v>254.67714312089063</v>
      </c>
      <c r="AE40" s="25">
        <v>33231.838631292419</v>
      </c>
      <c r="AF40" s="25">
        <v>10576.161332760103</v>
      </c>
      <c r="AG40" s="25">
        <v>10.834049871023215</v>
      </c>
      <c r="AH40" s="25">
        <v>247.06</v>
      </c>
      <c r="AI40" s="25">
        <v>3068.1835672143725</v>
      </c>
      <c r="AJ40" s="25">
        <v>48293.026112000058</v>
      </c>
      <c r="AK40" s="27">
        <v>2003</v>
      </c>
      <c r="AL40" s="25">
        <v>17.346023927125884</v>
      </c>
      <c r="AM40" s="25">
        <v>0</v>
      </c>
      <c r="AN40" s="25">
        <v>9177.4818375428586</v>
      </c>
      <c r="AO40" s="25">
        <v>8231.0327487550876</v>
      </c>
      <c r="AP40" s="25">
        <v>647.73727171109203</v>
      </c>
      <c r="AQ40" s="25">
        <v>195.60999999999996</v>
      </c>
      <c r="AR40" s="25">
        <v>1144.512716071772</v>
      </c>
      <c r="AS40" s="25">
        <v>19413.720598007934</v>
      </c>
      <c r="AT40" s="27">
        <v>2003</v>
      </c>
      <c r="AU40" s="25">
        <v>2078.0464428577266</v>
      </c>
      <c r="AV40" s="25">
        <v>680.13815637045479</v>
      </c>
      <c r="AW40" s="25">
        <v>420.24770434518416</v>
      </c>
      <c r="AX40" s="25">
        <v>53.189439497637615</v>
      </c>
      <c r="AY40" s="25">
        <v>0</v>
      </c>
      <c r="AZ40" s="25">
        <v>56701.345324743997</v>
      </c>
      <c r="BA40" s="25">
        <v>28909.583789364951</v>
      </c>
      <c r="BB40" s="25">
        <v>1786.8837926087704</v>
      </c>
      <c r="BC40" s="25">
        <v>709.3599999999999</v>
      </c>
      <c r="BD40" s="25">
        <v>66771.5608917301</v>
      </c>
      <c r="BE40" s="25">
        <v>158146.72770610361</v>
      </c>
      <c r="BF40" s="27">
        <v>2003</v>
      </c>
      <c r="BG40" s="47">
        <v>29307.618080665427</v>
      </c>
      <c r="BH40" s="26" t="s">
        <v>45</v>
      </c>
      <c r="BI40" s="47">
        <v>12515.024269733849</v>
      </c>
      <c r="BJ40" s="26" t="s">
        <v>45</v>
      </c>
      <c r="BK40" s="47"/>
      <c r="BL40" s="47"/>
    </row>
    <row r="41" spans="1:64">
      <c r="A41" s="24">
        <v>2004</v>
      </c>
      <c r="B41" s="25">
        <v>1235.2520132036439</v>
      </c>
      <c r="C41" s="25">
        <v>559.20629439932907</v>
      </c>
      <c r="D41" s="25">
        <v>157.39210071900084</v>
      </c>
      <c r="E41" s="25">
        <v>90.27189421926056</v>
      </c>
      <c r="F41" s="25">
        <v>0</v>
      </c>
      <c r="G41" s="25">
        <v>13237.600393465918</v>
      </c>
      <c r="H41" s="25">
        <v>9584.4690528171741</v>
      </c>
      <c r="I41" s="25">
        <v>832.34041616509023</v>
      </c>
      <c r="J41" s="25">
        <v>265.24</v>
      </c>
      <c r="K41" s="25">
        <v>6918.4197487788297</v>
      </c>
      <c r="L41" s="25">
        <v>32912.437611279856</v>
      </c>
      <c r="M41" s="27">
        <v>2004</v>
      </c>
      <c r="N41" s="26" t="s">
        <v>45</v>
      </c>
      <c r="O41" s="25">
        <v>0</v>
      </c>
      <c r="P41" s="25">
        <v>347.27518906870904</v>
      </c>
      <c r="Q41" s="25">
        <v>699.9363356079009</v>
      </c>
      <c r="R41" s="25">
        <v>1.6167956434508455</v>
      </c>
      <c r="S41" s="25">
        <v>42220.851529002073</v>
      </c>
      <c r="T41" s="26" t="s">
        <v>45</v>
      </c>
      <c r="U41" s="26" t="s">
        <v>45</v>
      </c>
      <c r="V41" s="25">
        <v>0</v>
      </c>
      <c r="W41" s="25">
        <v>1195.9810932255584</v>
      </c>
      <c r="X41" s="25">
        <v>12908.480266541383</v>
      </c>
      <c r="Y41" s="26" t="s">
        <v>45</v>
      </c>
      <c r="Z41" s="25">
        <v>57374.141209089074</v>
      </c>
      <c r="AA41" s="27">
        <v>2004</v>
      </c>
      <c r="AB41" s="25">
        <v>732.88776659346036</v>
      </c>
      <c r="AC41" s="25">
        <v>36.144880764629967</v>
      </c>
      <c r="AD41" s="25">
        <v>230.36075700624193</v>
      </c>
      <c r="AE41" s="25">
        <v>34085.185408355013</v>
      </c>
      <c r="AF41" s="25">
        <v>10679.318075124678</v>
      </c>
      <c r="AG41" s="25">
        <v>51.934651762682712</v>
      </c>
      <c r="AH41" s="25">
        <v>251.65</v>
      </c>
      <c r="AI41" s="25">
        <v>3265.3271867418698</v>
      </c>
      <c r="AJ41" s="25">
        <v>49332.80872634858</v>
      </c>
      <c r="AK41" s="27">
        <v>2004</v>
      </c>
      <c r="AL41" s="25">
        <v>19.401737493269593</v>
      </c>
      <c r="AM41" s="25">
        <v>0</v>
      </c>
      <c r="AN41" s="25">
        <v>9757.0868479995479</v>
      </c>
      <c r="AO41" s="25">
        <v>8531.5689298654706</v>
      </c>
      <c r="AP41" s="25">
        <v>373.31008168529667</v>
      </c>
      <c r="AQ41" s="25">
        <v>197.68000000000004</v>
      </c>
      <c r="AR41" s="25">
        <v>1437.7909332977506</v>
      </c>
      <c r="AS41" s="25">
        <v>20316.838530341338</v>
      </c>
      <c r="AT41" s="27">
        <v>2004</v>
      </c>
      <c r="AU41" s="25">
        <v>1987.5415172903738</v>
      </c>
      <c r="AV41" s="25">
        <v>595.35117516395906</v>
      </c>
      <c r="AW41" s="25">
        <v>387.75285772524273</v>
      </c>
      <c r="AX41" s="25">
        <v>90.27189421926056</v>
      </c>
      <c r="AY41" s="25">
        <v>0</v>
      </c>
      <c r="AZ41" s="25">
        <v>57079.872649820478</v>
      </c>
      <c r="BA41" s="25">
        <v>29144.248042519481</v>
      </c>
      <c r="BB41" s="25">
        <v>1257.5851496130697</v>
      </c>
      <c r="BC41" s="25">
        <v>714.57</v>
      </c>
      <c r="BD41" s="25">
        <v>68646.787093195366</v>
      </c>
      <c r="BE41" s="25">
        <v>159936.22607705885</v>
      </c>
      <c r="BF41" s="27">
        <v>2004</v>
      </c>
      <c r="BG41" s="47">
        <v>29426.725759486941</v>
      </c>
      <c r="BH41" s="26" t="s">
        <v>45</v>
      </c>
      <c r="BI41" s="47">
        <v>12794.125769515133</v>
      </c>
      <c r="BJ41" s="26" t="s">
        <v>45</v>
      </c>
      <c r="BK41" s="47"/>
      <c r="BL41" s="47"/>
    </row>
    <row r="42" spans="1:64">
      <c r="A42" s="24">
        <v>2005</v>
      </c>
      <c r="B42" s="25">
        <v>1179.924430602071</v>
      </c>
      <c r="C42" s="25">
        <v>534.73643589228084</v>
      </c>
      <c r="D42" s="25">
        <v>150.42873299773316</v>
      </c>
      <c r="E42" s="25">
        <v>98.782346242903657</v>
      </c>
      <c r="F42" s="25">
        <v>0</v>
      </c>
      <c r="G42" s="25">
        <v>13021.582487031814</v>
      </c>
      <c r="H42" s="25">
        <v>9976.2745144353139</v>
      </c>
      <c r="I42" s="25">
        <v>830.50753787745134</v>
      </c>
      <c r="J42" s="25">
        <v>200.76085640426902</v>
      </c>
      <c r="K42" s="25">
        <v>6282.1847243872035</v>
      </c>
      <c r="L42" s="25">
        <v>32303.189892445414</v>
      </c>
      <c r="M42" s="27">
        <v>2005</v>
      </c>
      <c r="N42" s="25">
        <v>2.9164341061883712</v>
      </c>
      <c r="O42" s="25">
        <v>0</v>
      </c>
      <c r="P42" s="25">
        <v>347.39853777503276</v>
      </c>
      <c r="Q42" s="25">
        <v>633.78887902364977</v>
      </c>
      <c r="R42" s="25">
        <v>1.6468902264259102</v>
      </c>
      <c r="S42" s="25">
        <v>42506.75881608497</v>
      </c>
      <c r="T42" s="25">
        <v>74.051215618694485</v>
      </c>
      <c r="U42" s="26" t="s">
        <v>45</v>
      </c>
      <c r="V42" s="25">
        <v>0</v>
      </c>
      <c r="W42" s="25">
        <v>1370.3128880699489</v>
      </c>
      <c r="X42" s="25">
        <v>13856.29347654933</v>
      </c>
      <c r="Y42" s="26" t="s">
        <v>45</v>
      </c>
      <c r="Z42" s="25">
        <v>58793.167137454249</v>
      </c>
      <c r="AA42" s="27">
        <v>2005</v>
      </c>
      <c r="AB42" s="25">
        <v>473.78242069329252</v>
      </c>
      <c r="AC42" s="25">
        <v>24.483345324877696</v>
      </c>
      <c r="AD42" s="25">
        <v>198.9816315390035</v>
      </c>
      <c r="AE42" s="25">
        <v>32835.681148755371</v>
      </c>
      <c r="AF42" s="25">
        <v>10809.212209802234</v>
      </c>
      <c r="AG42" s="25">
        <v>51.934651762682712</v>
      </c>
      <c r="AH42" s="25">
        <v>317.80096206411804</v>
      </c>
      <c r="AI42" s="25">
        <v>3093.5455413799227</v>
      </c>
      <c r="AJ42" s="25">
        <v>47805.4219113215</v>
      </c>
      <c r="AK42" s="27">
        <v>2005</v>
      </c>
      <c r="AL42" s="25">
        <v>38.095509913882552</v>
      </c>
      <c r="AM42" s="25">
        <v>0</v>
      </c>
      <c r="AN42" s="25">
        <v>9526.3268911176492</v>
      </c>
      <c r="AO42" s="25">
        <v>8846.092462007502</v>
      </c>
      <c r="AP42" s="25">
        <v>385.53377730008589</v>
      </c>
      <c r="AQ42" s="25">
        <v>204.89309555492798</v>
      </c>
      <c r="AR42" s="25">
        <v>1773.4799151017687</v>
      </c>
      <c r="AS42" s="25">
        <v>20774.421650995817</v>
      </c>
      <c r="AT42" s="27">
        <v>2005</v>
      </c>
      <c r="AU42" s="25">
        <v>1694.7187953154344</v>
      </c>
      <c r="AV42" s="25">
        <v>559.21978121715858</v>
      </c>
      <c r="AW42" s="25">
        <v>349.41036453673667</v>
      </c>
      <c r="AX42" s="25">
        <v>98.782346242903657</v>
      </c>
      <c r="AY42" s="25">
        <v>0</v>
      </c>
      <c r="AZ42" s="25">
        <v>55383.590526904831</v>
      </c>
      <c r="BA42" s="25">
        <v>29980.62461424651</v>
      </c>
      <c r="BB42" s="25">
        <v>1267.9759669402199</v>
      </c>
      <c r="BC42" s="25">
        <v>797.50612964200957</v>
      </c>
      <c r="BD42" s="25">
        <v>69516.364240596784</v>
      </c>
      <c r="BE42" s="25">
        <v>159676.20059221698</v>
      </c>
      <c r="BF42" s="27">
        <v>2005</v>
      </c>
      <c r="BG42" s="47">
        <v>29516.001386969579</v>
      </c>
      <c r="BH42" s="47">
        <v>51.419958702687097</v>
      </c>
      <c r="BI42" s="47">
        <v>12990.757429115392</v>
      </c>
      <c r="BJ42" s="47">
        <v>22.631256916007391</v>
      </c>
      <c r="BK42" s="47"/>
      <c r="BL42" s="47"/>
    </row>
    <row r="43" spans="1:64">
      <c r="A43" s="24">
        <v>2006</v>
      </c>
      <c r="B43" s="25">
        <v>1163.6484360418719</v>
      </c>
      <c r="C43" s="25">
        <v>487.61874462715599</v>
      </c>
      <c r="D43" s="25">
        <v>161.08061817243794</v>
      </c>
      <c r="E43" s="25">
        <v>122.9469389907359</v>
      </c>
      <c r="F43" s="25">
        <v>0</v>
      </c>
      <c r="G43" s="25">
        <v>12428.286430306776</v>
      </c>
      <c r="H43" s="25">
        <v>9879.3033502618928</v>
      </c>
      <c r="I43" s="25">
        <v>808.93292777300076</v>
      </c>
      <c r="J43" s="25">
        <v>213.48946654426669</v>
      </c>
      <c r="K43" s="25">
        <v>6099.3517627279189</v>
      </c>
      <c r="L43" s="25">
        <v>31442.201843310198</v>
      </c>
      <c r="M43" s="27">
        <v>2006</v>
      </c>
      <c r="N43" s="25">
        <v>13.707240299085345</v>
      </c>
      <c r="O43" s="25">
        <v>0</v>
      </c>
      <c r="P43" s="25">
        <v>342.47504655357915</v>
      </c>
      <c r="Q43" s="25">
        <v>631.88356881114021</v>
      </c>
      <c r="R43" s="25">
        <v>1.6139294926913157</v>
      </c>
      <c r="S43" s="25">
        <v>42512.640559712221</v>
      </c>
      <c r="T43" s="25">
        <v>187.79203607410454</v>
      </c>
      <c r="U43" s="26" t="s">
        <v>45</v>
      </c>
      <c r="V43" s="25">
        <v>0</v>
      </c>
      <c r="W43" s="25">
        <v>1812.2867055712352</v>
      </c>
      <c r="X43" s="25">
        <v>13999.047372228359</v>
      </c>
      <c r="Y43" s="26" t="s">
        <v>45</v>
      </c>
      <c r="Z43" s="25">
        <v>59501.446458742415</v>
      </c>
      <c r="AA43" s="27">
        <v>2006</v>
      </c>
      <c r="AB43" s="25">
        <v>426.03157813197453</v>
      </c>
      <c r="AC43" s="25">
        <v>15.896465078352609</v>
      </c>
      <c r="AD43" s="25">
        <v>199.86348197370305</v>
      </c>
      <c r="AE43" s="25">
        <v>31550.130632644225</v>
      </c>
      <c r="AF43" s="25">
        <v>10722.606978180804</v>
      </c>
      <c r="AG43" s="25">
        <v>51.934651762682712</v>
      </c>
      <c r="AH43" s="25">
        <v>357.90954169533995</v>
      </c>
      <c r="AI43" s="25">
        <v>3250.7735213187925</v>
      </c>
      <c r="AJ43" s="25">
        <v>46575.146850785881</v>
      </c>
      <c r="AK43" s="27">
        <v>2006</v>
      </c>
      <c r="AL43" s="25">
        <v>23.891277612025192</v>
      </c>
      <c r="AM43" s="25">
        <v>0</v>
      </c>
      <c r="AN43" s="25">
        <v>8654.6472234467474</v>
      </c>
      <c r="AO43" s="25">
        <v>8738.3724777961143</v>
      </c>
      <c r="AP43" s="25">
        <v>383.89735597592437</v>
      </c>
      <c r="AQ43" s="25">
        <v>192.42807477786357</v>
      </c>
      <c r="AR43" s="25">
        <v>1529.6486932978787</v>
      </c>
      <c r="AS43" s="25">
        <v>19522.885102906555</v>
      </c>
      <c r="AT43" s="27">
        <v>2006</v>
      </c>
      <c r="AU43" s="25">
        <v>1627.2785320849571</v>
      </c>
      <c r="AV43" s="25">
        <v>503.5152097055086</v>
      </c>
      <c r="AW43" s="25">
        <v>360.94410014614095</v>
      </c>
      <c r="AX43" s="25">
        <v>122.9469389907359</v>
      </c>
      <c r="AY43" s="25">
        <v>0</v>
      </c>
      <c r="AZ43" s="25">
        <v>52633.064286397755</v>
      </c>
      <c r="BA43" s="25">
        <v>29684.371782285081</v>
      </c>
      <c r="BB43" s="25">
        <v>1244.7649355116077</v>
      </c>
      <c r="BC43" s="25">
        <v>951.61911909157482</v>
      </c>
      <c r="BD43" s="25">
        <v>69835.632183667534</v>
      </c>
      <c r="BE43" s="25">
        <v>157041.68025574504</v>
      </c>
      <c r="BF43" s="27">
        <v>2006</v>
      </c>
      <c r="BG43" s="47">
        <v>29419.846483719437</v>
      </c>
      <c r="BH43" s="47">
        <v>129.95694455641353</v>
      </c>
      <c r="BI43" s="47">
        <v>13092.794075992781</v>
      </c>
      <c r="BJ43" s="47">
        <v>57.835091517690998</v>
      </c>
      <c r="BK43" s="47"/>
      <c r="BL43" s="47"/>
    </row>
    <row r="44" spans="1:64">
      <c r="A44" s="24">
        <v>2007</v>
      </c>
      <c r="B44" s="25">
        <v>1268.4052921213993</v>
      </c>
      <c r="C44" s="25">
        <v>513.05061144173726</v>
      </c>
      <c r="D44" s="25">
        <v>158.00843446259671</v>
      </c>
      <c r="E44" s="25">
        <v>120.299685117157</v>
      </c>
      <c r="F44" s="25">
        <v>0</v>
      </c>
      <c r="G44" s="25">
        <v>11466.075649125158</v>
      </c>
      <c r="H44" s="25">
        <v>9699.0105405461327</v>
      </c>
      <c r="I44" s="25">
        <v>895.84403783318987</v>
      </c>
      <c r="J44" s="25">
        <v>276.33064723402265</v>
      </c>
      <c r="K44" s="25">
        <v>6095.3471147107966</v>
      </c>
      <c r="L44" s="25">
        <v>30540.28267870397</v>
      </c>
      <c r="M44" s="27">
        <v>2007</v>
      </c>
      <c r="N44" s="25">
        <v>13.707240299085345</v>
      </c>
      <c r="O44" s="25">
        <v>0</v>
      </c>
      <c r="P44" s="25">
        <v>339.04935600162639</v>
      </c>
      <c r="Q44" s="25">
        <v>646.35966658753659</v>
      </c>
      <c r="R44" s="25">
        <v>1.5835482946402981</v>
      </c>
      <c r="S44" s="25">
        <v>42884.399591435002</v>
      </c>
      <c r="T44" s="25">
        <v>361.69050647440218</v>
      </c>
      <c r="U44" s="26" t="s">
        <v>45</v>
      </c>
      <c r="V44" s="25">
        <v>0</v>
      </c>
      <c r="W44" s="25">
        <v>1618.174755405485</v>
      </c>
      <c r="X44" s="25">
        <v>13905.964685498055</v>
      </c>
      <c r="Y44" s="26" t="s">
        <v>45</v>
      </c>
      <c r="Z44" s="25">
        <v>59770.929349995822</v>
      </c>
      <c r="AA44" s="27">
        <v>2007</v>
      </c>
      <c r="AB44" s="25">
        <v>487.09548419463022</v>
      </c>
      <c r="AC44" s="25">
        <v>10.585306204197554</v>
      </c>
      <c r="AD44" s="25">
        <v>182.44185937649277</v>
      </c>
      <c r="AE44" s="25">
        <v>30341.178864337828</v>
      </c>
      <c r="AF44" s="25">
        <v>10582.633366813881</v>
      </c>
      <c r="AG44" s="25">
        <v>51.934651762682712</v>
      </c>
      <c r="AH44" s="25">
        <v>399.72912132656188</v>
      </c>
      <c r="AI44" s="25">
        <v>2876.8254619473687</v>
      </c>
      <c r="AJ44" s="25">
        <v>44932.424115963644</v>
      </c>
      <c r="AK44" s="27">
        <v>2007</v>
      </c>
      <c r="AL44" s="25">
        <v>18.552191091532563</v>
      </c>
      <c r="AM44" s="25">
        <v>0</v>
      </c>
      <c r="AN44" s="25">
        <v>8153.6798193938048</v>
      </c>
      <c r="AO44" s="25">
        <v>8754.8828137297951</v>
      </c>
      <c r="AP44" s="25">
        <v>390.20266552020632</v>
      </c>
      <c r="AQ44" s="25">
        <v>197.66223108436361</v>
      </c>
      <c r="AR44" s="25">
        <v>1500.8061320957618</v>
      </c>
      <c r="AS44" s="25">
        <v>19015.785852915462</v>
      </c>
      <c r="AT44" s="27">
        <v>2007</v>
      </c>
      <c r="AU44" s="25">
        <v>1787.7602077066472</v>
      </c>
      <c r="AV44" s="25">
        <v>523.6359176459348</v>
      </c>
      <c r="AW44" s="25">
        <v>340.45029383908945</v>
      </c>
      <c r="AX44" s="25">
        <v>120.299685117157</v>
      </c>
      <c r="AY44" s="25">
        <v>0</v>
      </c>
      <c r="AZ44" s="25">
        <v>49960.934332856792</v>
      </c>
      <c r="BA44" s="25">
        <v>29377.159625386077</v>
      </c>
      <c r="BB44" s="25">
        <v>1337.9813551160789</v>
      </c>
      <c r="BC44" s="25">
        <v>1235.4125061193504</v>
      </c>
      <c r="BD44" s="25">
        <v>69527.877407680004</v>
      </c>
      <c r="BE44" s="25">
        <v>154259.4219975789</v>
      </c>
      <c r="BF44" s="27">
        <v>2007</v>
      </c>
      <c r="BG44" s="47">
        <v>29521.198725300066</v>
      </c>
      <c r="BH44" s="47">
        <v>248.98418586738956</v>
      </c>
      <c r="BI44" s="47">
        <v>13363.200866134934</v>
      </c>
      <c r="BJ44" s="47">
        <v>112.70632060701261</v>
      </c>
      <c r="BK44" s="47"/>
      <c r="BL44" s="47"/>
    </row>
    <row r="45" spans="1:64">
      <c r="A45" s="24">
        <v>2008</v>
      </c>
      <c r="B45" s="25">
        <v>1296.1614753611334</v>
      </c>
      <c r="C45" s="25">
        <v>442.77044205891667</v>
      </c>
      <c r="D45" s="25">
        <v>156.12992781570955</v>
      </c>
      <c r="E45" s="25">
        <v>109.89766626425057</v>
      </c>
      <c r="F45" s="25">
        <v>0</v>
      </c>
      <c r="G45" s="25">
        <v>11029.70743779055</v>
      </c>
      <c r="H45" s="25">
        <v>9815.2112752107187</v>
      </c>
      <c r="I45" s="25">
        <v>1020.7031470335338</v>
      </c>
      <c r="J45" s="25">
        <v>414.24453862492618</v>
      </c>
      <c r="K45" s="25">
        <v>5895.148580583098</v>
      </c>
      <c r="L45" s="25">
        <v>30219.599863619296</v>
      </c>
      <c r="M45" s="27">
        <v>2008</v>
      </c>
      <c r="N45" s="25">
        <v>13.508924216531584</v>
      </c>
      <c r="O45" s="25">
        <v>0</v>
      </c>
      <c r="P45" s="25">
        <v>338.39222685054204</v>
      </c>
      <c r="Q45" s="25">
        <v>657.63881542775198</v>
      </c>
      <c r="R45" s="25">
        <v>1.5666380051590716</v>
      </c>
      <c r="S45" s="25">
        <v>41097.674345032428</v>
      </c>
      <c r="T45" s="25">
        <v>844.50717934176851</v>
      </c>
      <c r="U45" s="26" t="s">
        <v>45</v>
      </c>
      <c r="V45" s="25">
        <v>0</v>
      </c>
      <c r="W45" s="25">
        <v>1013.9336826750556</v>
      </c>
      <c r="X45" s="25">
        <v>13426.090093550307</v>
      </c>
      <c r="Y45" s="26" t="s">
        <v>45</v>
      </c>
      <c r="Z45" s="25">
        <v>57393.311905099545</v>
      </c>
      <c r="AA45" s="27">
        <v>2008</v>
      </c>
      <c r="AB45" s="25">
        <v>514.72227816375698</v>
      </c>
      <c r="AC45" s="25">
        <v>8.7949602365321216</v>
      </c>
      <c r="AD45" s="25">
        <v>229.16391049437686</v>
      </c>
      <c r="AE45" s="25">
        <v>30916.063435096061</v>
      </c>
      <c r="AF45" s="25">
        <v>10300.945829750643</v>
      </c>
      <c r="AG45" s="25">
        <v>51.934651762682712</v>
      </c>
      <c r="AH45" s="25">
        <v>313.08893935122222</v>
      </c>
      <c r="AI45" s="25">
        <v>3033.4603866455491</v>
      </c>
      <c r="AJ45" s="25">
        <v>45997.925730078983</v>
      </c>
      <c r="AK45" s="27">
        <v>2008</v>
      </c>
      <c r="AL45" s="25">
        <v>20.791580985890505</v>
      </c>
      <c r="AM45" s="25">
        <v>0</v>
      </c>
      <c r="AN45" s="25">
        <v>9556.56977727708</v>
      </c>
      <c r="AO45" s="25">
        <v>8935.2951308749507</v>
      </c>
      <c r="AP45" s="25">
        <v>392.82619948409285</v>
      </c>
      <c r="AQ45" s="25">
        <v>228.80737812631514</v>
      </c>
      <c r="AR45" s="25">
        <v>1411.1033710794227</v>
      </c>
      <c r="AS45" s="25">
        <v>20545.393437827752</v>
      </c>
      <c r="AT45" s="27">
        <v>2008</v>
      </c>
      <c r="AU45" s="25">
        <v>1845.1842587273125</v>
      </c>
      <c r="AV45" s="25">
        <v>451.56540229544879</v>
      </c>
      <c r="AW45" s="25">
        <v>385.29383831008641</v>
      </c>
      <c r="AX45" s="25">
        <v>109.89766626425057</v>
      </c>
      <c r="AY45" s="25">
        <v>0</v>
      </c>
      <c r="AZ45" s="25">
        <v>51502.340650163693</v>
      </c>
      <c r="BA45" s="25">
        <v>29391.41110069201</v>
      </c>
      <c r="BB45" s="25">
        <v>1465.4639982803092</v>
      </c>
      <c r="BC45" s="25">
        <v>2430.3993740223964</v>
      </c>
      <c r="BD45" s="25">
        <v>66535.049274993624</v>
      </c>
      <c r="BE45" s="25">
        <v>154156.23093662559</v>
      </c>
      <c r="BF45" s="27">
        <v>2008</v>
      </c>
      <c r="BG45" s="47">
        <v>28697.22798688673</v>
      </c>
      <c r="BH45" s="47">
        <v>589.6931018205587</v>
      </c>
      <c r="BI45" s="47">
        <v>12400.446358145702</v>
      </c>
      <c r="BJ45" s="47">
        <v>254.8140775212099</v>
      </c>
      <c r="BK45" s="47"/>
      <c r="BL45" s="47"/>
    </row>
    <row r="46" spans="1:64">
      <c r="A46" s="24">
        <v>2009</v>
      </c>
      <c r="B46" s="25">
        <v>1151.76</v>
      </c>
      <c r="C46" s="25">
        <v>387.27133398845348</v>
      </c>
      <c r="D46" s="25">
        <v>0</v>
      </c>
      <c r="E46" s="25">
        <v>68.252931022923292</v>
      </c>
      <c r="F46" s="25">
        <v>0</v>
      </c>
      <c r="G46" s="25">
        <v>9145.6200000000008</v>
      </c>
      <c r="H46" s="25">
        <v>8575.92</v>
      </c>
      <c r="I46" s="25">
        <v>762.84</v>
      </c>
      <c r="J46" s="25">
        <v>414.77</v>
      </c>
      <c r="K46" s="25">
        <v>2388.0300000000002</v>
      </c>
      <c r="L46" s="25">
        <v>22923.47</v>
      </c>
      <c r="M46" s="27">
        <v>2009</v>
      </c>
      <c r="N46" s="25">
        <v>13.48</v>
      </c>
      <c r="O46" s="25">
        <v>0</v>
      </c>
      <c r="P46" s="25">
        <v>346.77</v>
      </c>
      <c r="Q46" s="25">
        <v>656.16</v>
      </c>
      <c r="R46" s="25">
        <v>1.55</v>
      </c>
      <c r="S46" s="25">
        <v>39716.730000000003</v>
      </c>
      <c r="T46" s="25">
        <v>1038.49</v>
      </c>
      <c r="U46" s="26" t="s">
        <v>45</v>
      </c>
      <c r="V46" s="25">
        <v>0</v>
      </c>
      <c r="W46" s="25">
        <v>1020.61</v>
      </c>
      <c r="X46" s="25">
        <v>13036.33</v>
      </c>
      <c r="Y46" s="26" t="s">
        <v>45</v>
      </c>
      <c r="Z46" s="25">
        <v>55830.12</v>
      </c>
      <c r="AA46" s="27">
        <v>2009</v>
      </c>
      <c r="AB46" s="25">
        <v>514.24</v>
      </c>
      <c r="AC46" s="25">
        <v>7.3311359510843559</v>
      </c>
      <c r="AD46" s="25">
        <v>191.77886404891566</v>
      </c>
      <c r="AE46" s="25">
        <v>29681.8</v>
      </c>
      <c r="AF46" s="25">
        <v>10192.67</v>
      </c>
      <c r="AG46" s="25">
        <v>51.93</v>
      </c>
      <c r="AH46" s="25">
        <v>329.41</v>
      </c>
      <c r="AI46" s="25">
        <v>2897.53</v>
      </c>
      <c r="AJ46" s="25">
        <v>43866.69</v>
      </c>
      <c r="AK46" s="27">
        <v>2009</v>
      </c>
      <c r="AL46" s="25">
        <v>53.09</v>
      </c>
      <c r="AM46" s="25">
        <v>0</v>
      </c>
      <c r="AN46" s="25">
        <v>8000.1900000000005</v>
      </c>
      <c r="AO46" s="25">
        <v>8548.44</v>
      </c>
      <c r="AP46" s="25">
        <v>391.56</v>
      </c>
      <c r="AQ46" s="25">
        <v>968.15000000000009</v>
      </c>
      <c r="AR46" s="25">
        <v>4013.83</v>
      </c>
      <c r="AS46" s="25">
        <v>21975.27</v>
      </c>
      <c r="AT46" s="27">
        <v>2009</v>
      </c>
      <c r="AU46" s="25">
        <v>1732.57</v>
      </c>
      <c r="AV46" s="25">
        <v>394.60246993953785</v>
      </c>
      <c r="AW46" s="25">
        <v>191.77925600595069</v>
      </c>
      <c r="AX46" s="25">
        <v>68.252931022923292</v>
      </c>
      <c r="AY46" s="25">
        <v>0</v>
      </c>
      <c r="AZ46" s="25">
        <v>46827.6</v>
      </c>
      <c r="BA46" s="25">
        <v>27665.35</v>
      </c>
      <c r="BB46" s="25">
        <v>1206.3399999999999</v>
      </c>
      <c r="BC46" s="25">
        <v>2750.83</v>
      </c>
      <c r="BD46" s="25">
        <v>63729.22</v>
      </c>
      <c r="BE46" s="25">
        <v>144595.54999999999</v>
      </c>
      <c r="BF46" s="27">
        <v>2009</v>
      </c>
      <c r="BG46" s="47">
        <v>27975.550329187259</v>
      </c>
      <c r="BH46" s="47">
        <v>731.48844986376457</v>
      </c>
      <c r="BI46" s="47">
        <v>11741.179670812744</v>
      </c>
      <c r="BJ46" s="47">
        <v>307.00155013623538</v>
      </c>
      <c r="BK46" s="47"/>
      <c r="BL46" s="47"/>
    </row>
    <row r="47" spans="1:64">
      <c r="A47" s="24">
        <v>2010</v>
      </c>
      <c r="B47" s="25">
        <v>1311.22</v>
      </c>
      <c r="C47" s="25">
        <v>338.78946430277466</v>
      </c>
      <c r="D47" s="25">
        <v>0</v>
      </c>
      <c r="E47" s="25">
        <v>113.60946196941845</v>
      </c>
      <c r="F47" s="25">
        <v>0</v>
      </c>
      <c r="G47" s="25">
        <v>9395.43</v>
      </c>
      <c r="H47" s="25">
        <v>8988.61</v>
      </c>
      <c r="I47" s="25">
        <v>822.15</v>
      </c>
      <c r="J47" s="25">
        <v>471.9</v>
      </c>
      <c r="K47" s="25">
        <v>2398.0700000000002</v>
      </c>
      <c r="L47" s="25">
        <v>23926.63</v>
      </c>
      <c r="M47" s="27">
        <v>2010</v>
      </c>
      <c r="N47" s="25">
        <v>13.61</v>
      </c>
      <c r="O47" s="25">
        <v>0</v>
      </c>
      <c r="P47" s="25">
        <v>348.19</v>
      </c>
      <c r="Q47" s="25">
        <v>659.76</v>
      </c>
      <c r="R47" s="25">
        <v>1.55</v>
      </c>
      <c r="S47" s="25">
        <v>39285.72</v>
      </c>
      <c r="T47" s="25">
        <v>1217.57</v>
      </c>
      <c r="U47" s="26" t="s">
        <v>45</v>
      </c>
      <c r="V47" s="25">
        <v>0</v>
      </c>
      <c r="W47" s="25">
        <v>980.2</v>
      </c>
      <c r="X47" s="25">
        <v>12826.39</v>
      </c>
      <c r="Y47" s="26" t="s">
        <v>45</v>
      </c>
      <c r="Z47" s="25">
        <v>55332.99</v>
      </c>
      <c r="AA47" s="27">
        <v>2010</v>
      </c>
      <c r="AB47" s="25">
        <v>536.74</v>
      </c>
      <c r="AC47" s="25">
        <v>7.3311359510843621</v>
      </c>
      <c r="AD47" s="25">
        <v>221.25886404891565</v>
      </c>
      <c r="AE47" s="25">
        <v>33499.18</v>
      </c>
      <c r="AF47" s="25">
        <v>10217.709999999999</v>
      </c>
      <c r="AG47" s="25">
        <v>51.93</v>
      </c>
      <c r="AH47" s="25">
        <v>449.37</v>
      </c>
      <c r="AI47" s="25">
        <v>3355.08</v>
      </c>
      <c r="AJ47" s="25">
        <v>48338.61</v>
      </c>
      <c r="AK47" s="27">
        <v>2010</v>
      </c>
      <c r="AL47" s="25">
        <v>27.599999999999998</v>
      </c>
      <c r="AM47" s="25">
        <v>0</v>
      </c>
      <c r="AN47" s="25">
        <v>8735.840000000002</v>
      </c>
      <c r="AO47" s="25">
        <v>8718.8599999999988</v>
      </c>
      <c r="AP47" s="25">
        <v>392.3</v>
      </c>
      <c r="AQ47" s="25">
        <v>1062.47</v>
      </c>
      <c r="AR47" s="25">
        <v>4289.37</v>
      </c>
      <c r="AS47" s="25">
        <v>23226.440000000002</v>
      </c>
      <c r="AT47" s="27">
        <v>2010</v>
      </c>
      <c r="AU47" s="25">
        <v>1889.16</v>
      </c>
      <c r="AV47" s="25">
        <v>346.12060025385904</v>
      </c>
      <c r="AW47" s="25">
        <v>221.26176647081303</v>
      </c>
      <c r="AX47" s="25">
        <v>113.60946196941845</v>
      </c>
      <c r="AY47" s="25">
        <v>0</v>
      </c>
      <c r="AZ47" s="25">
        <v>51630.439999999995</v>
      </c>
      <c r="BA47" s="25">
        <v>28274.92</v>
      </c>
      <c r="BB47" s="25">
        <v>1266.3800000000001</v>
      </c>
      <c r="BC47" s="25">
        <v>3201.32</v>
      </c>
      <c r="BD47" s="25">
        <v>63794.590000000004</v>
      </c>
      <c r="BE47" s="25">
        <v>150824.67000000001</v>
      </c>
      <c r="BF47" s="27">
        <v>2010</v>
      </c>
      <c r="BG47" s="47">
        <v>27250.91906406423</v>
      </c>
      <c r="BH47" s="47">
        <v>844.57918869331354</v>
      </c>
      <c r="BI47" s="47">
        <v>12034.800935935773</v>
      </c>
      <c r="BJ47" s="47">
        <v>372.99081130668645</v>
      </c>
      <c r="BK47" s="47"/>
      <c r="BL47" s="47"/>
    </row>
    <row r="48" spans="1:64">
      <c r="A48" s="24">
        <v>2011</v>
      </c>
      <c r="B48" s="25">
        <v>1193.6199999999999</v>
      </c>
      <c r="C48" s="25">
        <v>306.27659828849852</v>
      </c>
      <c r="D48" s="25">
        <v>0</v>
      </c>
      <c r="E48" s="25">
        <v>76.629218663453997</v>
      </c>
      <c r="F48" s="25">
        <v>0</v>
      </c>
      <c r="G48" s="25">
        <v>9007.31</v>
      </c>
      <c r="H48" s="25">
        <v>8806.15</v>
      </c>
      <c r="I48" s="25">
        <v>769.35</v>
      </c>
      <c r="J48" s="25">
        <v>530.86</v>
      </c>
      <c r="K48" s="25">
        <v>2275.89</v>
      </c>
      <c r="L48" s="25">
        <v>23030.19</v>
      </c>
      <c r="M48" s="27">
        <v>2011</v>
      </c>
      <c r="N48" s="25">
        <v>11.07</v>
      </c>
      <c r="O48" s="25">
        <v>0</v>
      </c>
      <c r="P48" s="25">
        <v>359.78</v>
      </c>
      <c r="Q48" s="25">
        <v>650.59</v>
      </c>
      <c r="R48" s="25">
        <v>1.82</v>
      </c>
      <c r="S48" s="25">
        <v>38646.01</v>
      </c>
      <c r="T48" s="25">
        <v>1127.52</v>
      </c>
      <c r="U48" s="26" t="s">
        <v>45</v>
      </c>
      <c r="V48" s="25">
        <v>0</v>
      </c>
      <c r="W48" s="25">
        <v>976.79</v>
      </c>
      <c r="X48" s="25">
        <v>12884.21</v>
      </c>
      <c r="Y48" s="26" t="s">
        <v>45</v>
      </c>
      <c r="Z48" s="25">
        <v>54657.8</v>
      </c>
      <c r="AA48" s="27">
        <v>2011</v>
      </c>
      <c r="AB48" s="25">
        <v>530.1</v>
      </c>
      <c r="AC48" s="25">
        <v>6.1923187159644595</v>
      </c>
      <c r="AD48" s="25">
        <v>191.84768128403553</v>
      </c>
      <c r="AE48" s="25">
        <v>26555.52</v>
      </c>
      <c r="AF48" s="25">
        <v>9594.7000000000007</v>
      </c>
      <c r="AG48" s="25">
        <v>51.93</v>
      </c>
      <c r="AH48" s="25">
        <v>419.46</v>
      </c>
      <c r="AI48" s="25">
        <v>2750.77</v>
      </c>
      <c r="AJ48" s="25">
        <v>40100.53</v>
      </c>
      <c r="AK48" s="27">
        <v>2011</v>
      </c>
      <c r="AL48" s="25">
        <v>28.060000000000002</v>
      </c>
      <c r="AM48" s="25">
        <v>0</v>
      </c>
      <c r="AN48" s="25">
        <v>7344.44</v>
      </c>
      <c r="AO48" s="25">
        <v>8569.6899999999987</v>
      </c>
      <c r="AP48" s="25">
        <v>384.77000000000004</v>
      </c>
      <c r="AQ48" s="25">
        <v>1040.6400000000001</v>
      </c>
      <c r="AR48" s="25">
        <v>3946.83</v>
      </c>
      <c r="AS48" s="25">
        <v>21314.430000000004</v>
      </c>
      <c r="AT48" s="27">
        <v>2011</v>
      </c>
      <c r="AU48" s="25">
        <v>1762.84</v>
      </c>
      <c r="AV48" s="25">
        <v>312.46891700446298</v>
      </c>
      <c r="AW48" s="25">
        <v>191.8441841454094</v>
      </c>
      <c r="AX48" s="25">
        <v>76.629218663453997</v>
      </c>
      <c r="AY48" s="25">
        <v>0</v>
      </c>
      <c r="AZ48" s="25">
        <v>42907.27</v>
      </c>
      <c r="BA48" s="25">
        <v>27332.14</v>
      </c>
      <c r="BB48" s="25">
        <v>1206.06</v>
      </c>
      <c r="BC48" s="25">
        <v>3118.48</v>
      </c>
      <c r="BD48" s="25">
        <v>62131.100000000006</v>
      </c>
      <c r="BE48" s="25">
        <v>139102.94999999998</v>
      </c>
      <c r="BF48" s="27">
        <v>2011</v>
      </c>
      <c r="BG48" s="47">
        <v>26801.256670500832</v>
      </c>
      <c r="BH48" s="47">
        <v>781.94237700407098</v>
      </c>
      <c r="BI48" s="47">
        <v>11844.753329499175</v>
      </c>
      <c r="BJ48" s="47">
        <v>345.57762299592918</v>
      </c>
      <c r="BK48" s="47"/>
      <c r="BL48" s="47"/>
    </row>
    <row r="49" spans="1:64">
      <c r="A49" s="24">
        <v>2012</v>
      </c>
      <c r="B49" s="25">
        <v>1212.4000000000001</v>
      </c>
      <c r="C49" s="25">
        <v>375.18478196781723</v>
      </c>
      <c r="D49" s="25">
        <v>0</v>
      </c>
      <c r="E49" s="25">
        <v>60.305211517466262</v>
      </c>
      <c r="F49" s="25">
        <v>0</v>
      </c>
      <c r="G49" s="25">
        <v>8821.48</v>
      </c>
      <c r="H49" s="25">
        <v>8465.67</v>
      </c>
      <c r="I49" s="25">
        <v>757.92</v>
      </c>
      <c r="J49" s="25">
        <v>488.18</v>
      </c>
      <c r="K49" s="25">
        <v>2209.85</v>
      </c>
      <c r="L49" s="25">
        <v>22416.78</v>
      </c>
      <c r="M49" s="27">
        <v>2012</v>
      </c>
      <c r="N49" s="25">
        <v>11.6</v>
      </c>
      <c r="O49" s="25">
        <v>0</v>
      </c>
      <c r="P49" s="25">
        <v>382.96</v>
      </c>
      <c r="Q49" s="25">
        <v>672.62</v>
      </c>
      <c r="R49" s="25">
        <v>2.27</v>
      </c>
      <c r="S49" s="25">
        <v>38644.370000000003</v>
      </c>
      <c r="T49" s="25">
        <v>957.76</v>
      </c>
      <c r="U49" s="26" t="s">
        <v>45</v>
      </c>
      <c r="V49" s="25">
        <v>0</v>
      </c>
      <c r="W49" s="25">
        <v>959.91</v>
      </c>
      <c r="X49" s="25">
        <v>12457.59</v>
      </c>
      <c r="Y49" s="26" t="s">
        <v>45</v>
      </c>
      <c r="Z49" s="25">
        <v>54089.08</v>
      </c>
      <c r="AA49" s="27">
        <v>2012</v>
      </c>
      <c r="AB49" s="25">
        <v>506.35</v>
      </c>
      <c r="AC49" s="25">
        <v>4.9823254036495657</v>
      </c>
      <c r="AD49" s="25">
        <v>179.80767459635044</v>
      </c>
      <c r="AE49" s="25">
        <v>29508.18</v>
      </c>
      <c r="AF49" s="25">
        <v>9859.2099999999991</v>
      </c>
      <c r="AG49" s="25">
        <v>51.93</v>
      </c>
      <c r="AH49" s="25">
        <v>510.97</v>
      </c>
      <c r="AI49" s="25">
        <v>2790.2</v>
      </c>
      <c r="AJ49" s="25">
        <v>43411.63</v>
      </c>
      <c r="AK49" s="27">
        <v>2012</v>
      </c>
      <c r="AL49" s="25">
        <v>16.97</v>
      </c>
      <c r="AM49" s="25">
        <v>0</v>
      </c>
      <c r="AN49" s="25">
        <v>8523.44</v>
      </c>
      <c r="AO49" s="25">
        <v>8656.3200000000015</v>
      </c>
      <c r="AP49" s="25">
        <v>397.79</v>
      </c>
      <c r="AQ49" s="25">
        <v>1086.29</v>
      </c>
      <c r="AR49" s="25">
        <v>4039.7200000000003</v>
      </c>
      <c r="AS49" s="25">
        <v>22720.530000000002</v>
      </c>
      <c r="AT49" s="27">
        <v>2012</v>
      </c>
      <c r="AU49" s="25">
        <v>1747.32</v>
      </c>
      <c r="AV49" s="25">
        <v>380.16710737146678</v>
      </c>
      <c r="AW49" s="25">
        <v>179.80911449316901</v>
      </c>
      <c r="AX49" s="25">
        <v>60.305211517466262</v>
      </c>
      <c r="AY49" s="25">
        <v>0</v>
      </c>
      <c r="AZ49" s="25">
        <v>46853.100000000006</v>
      </c>
      <c r="BA49" s="25">
        <v>27366.43</v>
      </c>
      <c r="BB49" s="25">
        <v>1207.6400000000001</v>
      </c>
      <c r="BC49" s="25">
        <v>3043.22</v>
      </c>
      <c r="BD49" s="25">
        <v>61774.249999999993</v>
      </c>
      <c r="BE49" s="25">
        <v>142638.01999999999</v>
      </c>
      <c r="BF49" s="27">
        <v>2012</v>
      </c>
      <c r="BG49" s="47">
        <v>26714.842138813488</v>
      </c>
      <c r="BH49" s="47">
        <v>662.0992192878291</v>
      </c>
      <c r="BI49" s="47">
        <v>11929.527861186518</v>
      </c>
      <c r="BJ49" s="47">
        <v>295.66078071217095</v>
      </c>
      <c r="BK49" s="47"/>
      <c r="BL49" s="47"/>
    </row>
    <row r="50" spans="1:64">
      <c r="A50" s="24">
        <v>2013</v>
      </c>
      <c r="B50" s="25">
        <v>1555.2</v>
      </c>
      <c r="C50" s="25">
        <v>504.45991838237569</v>
      </c>
      <c r="D50" s="25">
        <v>0</v>
      </c>
      <c r="E50" s="25">
        <v>76.511152237551897</v>
      </c>
      <c r="F50" s="25">
        <v>0</v>
      </c>
      <c r="G50" s="25">
        <v>9029.65</v>
      </c>
      <c r="H50" s="25">
        <v>8338.85</v>
      </c>
      <c r="I50" s="25">
        <v>739.46</v>
      </c>
      <c r="J50" s="25">
        <v>575.69000000000005</v>
      </c>
      <c r="K50" s="25">
        <v>2236.3200000000002</v>
      </c>
      <c r="L50" s="25">
        <v>23068.73</v>
      </c>
      <c r="M50" s="27">
        <v>2013</v>
      </c>
      <c r="N50" s="25">
        <v>9.8800000000000008</v>
      </c>
      <c r="O50" s="25">
        <v>0</v>
      </c>
      <c r="P50" s="25">
        <v>371.4</v>
      </c>
      <c r="Q50" s="25">
        <v>667.42</v>
      </c>
      <c r="R50" s="25">
        <v>2.83</v>
      </c>
      <c r="S50" s="25">
        <v>38176.910000000003</v>
      </c>
      <c r="T50" s="25">
        <v>1091.58</v>
      </c>
      <c r="U50" s="26" t="s">
        <v>45</v>
      </c>
      <c r="V50" s="25">
        <v>0</v>
      </c>
      <c r="W50" s="25">
        <v>979.26</v>
      </c>
      <c r="X50" s="25">
        <v>12672.21</v>
      </c>
      <c r="Y50" s="26" t="s">
        <v>45</v>
      </c>
      <c r="Z50" s="25">
        <v>53971.49</v>
      </c>
      <c r="AA50" s="27">
        <v>2013</v>
      </c>
      <c r="AB50" s="25">
        <v>486.01</v>
      </c>
      <c r="AC50" s="25">
        <v>4.0570364001146713</v>
      </c>
      <c r="AD50" s="25">
        <v>216.47296359988533</v>
      </c>
      <c r="AE50" s="25">
        <v>29621.75</v>
      </c>
      <c r="AF50" s="25">
        <v>9751.7199999999993</v>
      </c>
      <c r="AG50" s="25">
        <v>51.93</v>
      </c>
      <c r="AH50" s="25">
        <v>601.79999999999995</v>
      </c>
      <c r="AI50" s="25">
        <v>2938.09</v>
      </c>
      <c r="AJ50" s="25">
        <v>43671.83</v>
      </c>
      <c r="AK50" s="27">
        <v>2013</v>
      </c>
      <c r="AL50" s="25">
        <v>25.06</v>
      </c>
      <c r="AM50" s="25">
        <v>0</v>
      </c>
      <c r="AN50" s="25">
        <v>8777.9500000000007</v>
      </c>
      <c r="AO50" s="25">
        <v>8729.65</v>
      </c>
      <c r="AP50" s="25">
        <v>400.83</v>
      </c>
      <c r="AQ50" s="25">
        <v>1257.73</v>
      </c>
      <c r="AR50" s="25">
        <v>4145.71</v>
      </c>
      <c r="AS50" s="25">
        <v>23336.919999999995</v>
      </c>
      <c r="AT50" s="27">
        <v>2013</v>
      </c>
      <c r="AU50" s="25">
        <v>2076.14</v>
      </c>
      <c r="AV50" s="25">
        <v>508.51695478249036</v>
      </c>
      <c r="AW50" s="25">
        <v>216.47733508398471</v>
      </c>
      <c r="AX50" s="25">
        <v>76.511152237551897</v>
      </c>
      <c r="AY50" s="25">
        <v>0</v>
      </c>
      <c r="AZ50" s="25">
        <v>47429.36</v>
      </c>
      <c r="BA50" s="25">
        <v>27194.44</v>
      </c>
      <c r="BB50" s="25">
        <v>1192.22</v>
      </c>
      <c r="BC50" s="25">
        <v>3526.81</v>
      </c>
      <c r="BD50" s="25">
        <v>61815.91</v>
      </c>
      <c r="BE50" s="25">
        <v>144048.95999999999</v>
      </c>
      <c r="BF50" s="27">
        <v>2013</v>
      </c>
      <c r="BG50" s="47">
        <v>26264.493374580914</v>
      </c>
      <c r="BH50" s="47">
        <v>750.97213676604599</v>
      </c>
      <c r="BI50" s="47">
        <v>11912.416625419091</v>
      </c>
      <c r="BJ50" s="47">
        <v>340.60786323395394</v>
      </c>
      <c r="BK50" s="47"/>
      <c r="BL50" s="47"/>
    </row>
    <row r="51" spans="1:64">
      <c r="A51" s="24">
        <v>2014</v>
      </c>
      <c r="B51" s="25">
        <v>1626.99</v>
      </c>
      <c r="C51" s="25">
        <v>482.70751272707417</v>
      </c>
      <c r="D51" s="25">
        <v>0</v>
      </c>
      <c r="E51" s="25">
        <v>69.129340369346266</v>
      </c>
      <c r="F51" s="25">
        <v>0</v>
      </c>
      <c r="G51" s="25">
        <v>8653.15</v>
      </c>
      <c r="H51" s="25">
        <v>7996.98</v>
      </c>
      <c r="I51" s="25">
        <v>626.80999999999995</v>
      </c>
      <c r="J51" s="25">
        <v>593.16999999999996</v>
      </c>
      <c r="K51" s="25">
        <v>2198.2800000000002</v>
      </c>
      <c r="L51" s="25">
        <v>22261.01</v>
      </c>
      <c r="M51" s="27">
        <v>2014</v>
      </c>
      <c r="N51" s="25">
        <v>9.36</v>
      </c>
      <c r="O51" s="25">
        <v>0</v>
      </c>
      <c r="P51" s="25">
        <v>381.49</v>
      </c>
      <c r="Q51" s="25">
        <v>675.78</v>
      </c>
      <c r="R51" s="25">
        <v>5.81</v>
      </c>
      <c r="S51" s="25">
        <v>38838.660000000003</v>
      </c>
      <c r="T51" s="25">
        <v>1242.67</v>
      </c>
      <c r="U51" s="26" t="s">
        <v>45</v>
      </c>
      <c r="V51" s="25">
        <v>0</v>
      </c>
      <c r="W51" s="25">
        <v>1044.93</v>
      </c>
      <c r="X51" s="25">
        <v>12419.73</v>
      </c>
      <c r="Y51" s="26" t="s">
        <v>45</v>
      </c>
      <c r="Z51" s="25">
        <v>54618.43</v>
      </c>
      <c r="AA51" s="27">
        <v>2014</v>
      </c>
      <c r="AB51" s="25">
        <v>414.98</v>
      </c>
      <c r="AC51" s="25">
        <v>4.1282124773096465</v>
      </c>
      <c r="AD51" s="25">
        <v>177.82178752269033</v>
      </c>
      <c r="AE51" s="25">
        <v>24393.03</v>
      </c>
      <c r="AF51" s="25">
        <v>9292.8700000000008</v>
      </c>
      <c r="AG51" s="25">
        <v>51.93</v>
      </c>
      <c r="AH51" s="25">
        <v>582.92999999999995</v>
      </c>
      <c r="AI51" s="25">
        <v>2626.52</v>
      </c>
      <c r="AJ51" s="25">
        <v>37544.22</v>
      </c>
      <c r="AK51" s="27">
        <v>2014</v>
      </c>
      <c r="AL51" s="25">
        <v>25.55</v>
      </c>
      <c r="AM51" s="25">
        <v>0</v>
      </c>
      <c r="AN51" s="25">
        <v>7381.2300000000005</v>
      </c>
      <c r="AO51" s="25">
        <v>8357.74</v>
      </c>
      <c r="AP51" s="25">
        <v>476.04</v>
      </c>
      <c r="AQ51" s="25">
        <v>1425.46</v>
      </c>
      <c r="AR51" s="25">
        <v>3946.16</v>
      </c>
      <c r="AS51" s="25">
        <v>21612.190000000002</v>
      </c>
      <c r="AT51" s="27">
        <v>2014</v>
      </c>
      <c r="AU51" s="25">
        <v>2076.88</v>
      </c>
      <c r="AV51" s="25">
        <v>486.83572520438383</v>
      </c>
      <c r="AW51" s="25">
        <v>177.8188897344034</v>
      </c>
      <c r="AX51" s="25">
        <v>69.129340369346266</v>
      </c>
      <c r="AY51" s="25">
        <v>0</v>
      </c>
      <c r="AZ51" s="25">
        <v>40427.410000000003</v>
      </c>
      <c r="BA51" s="25">
        <v>26034.9</v>
      </c>
      <c r="BB51" s="25">
        <v>1154.79</v>
      </c>
      <c r="BC51" s="25">
        <v>3844.22</v>
      </c>
      <c r="BD51" s="25">
        <v>61750.07</v>
      </c>
      <c r="BE51" s="25">
        <v>136035.86000000002</v>
      </c>
      <c r="BF51" s="27">
        <v>2014</v>
      </c>
      <c r="BG51" s="47">
        <v>26500.96587700798</v>
      </c>
      <c r="BH51" s="47">
        <v>847.91687628722264</v>
      </c>
      <c r="BI51" s="47">
        <v>12337.694122992025</v>
      </c>
      <c r="BJ51" s="47">
        <v>394.75312371277738</v>
      </c>
      <c r="BK51" s="47"/>
      <c r="BL51" s="47"/>
    </row>
    <row r="52" spans="1:64">
      <c r="A52" s="24">
        <v>2015</v>
      </c>
      <c r="B52" s="25">
        <v>1380.17</v>
      </c>
      <c r="C52" s="25">
        <v>395.45200726091537</v>
      </c>
      <c r="D52" s="25">
        <v>0</v>
      </c>
      <c r="E52" s="25">
        <v>88.253494523885905</v>
      </c>
      <c r="F52" s="25">
        <v>0</v>
      </c>
      <c r="G52" s="25">
        <v>8418.0400000000009</v>
      </c>
      <c r="H52" s="25">
        <v>7991.26</v>
      </c>
      <c r="I52" s="25">
        <v>678.41</v>
      </c>
      <c r="J52" s="25">
        <v>1112.68</v>
      </c>
      <c r="K52" s="25">
        <v>2216.9499999999998</v>
      </c>
      <c r="L52" s="25">
        <v>22307.72</v>
      </c>
      <c r="M52" s="27">
        <v>2015</v>
      </c>
      <c r="N52" s="25">
        <v>9.36</v>
      </c>
      <c r="O52" s="25">
        <v>0</v>
      </c>
      <c r="P52" s="25">
        <v>380</v>
      </c>
      <c r="Q52" s="25">
        <v>673.67</v>
      </c>
      <c r="R52" s="25">
        <v>8.35</v>
      </c>
      <c r="S52" s="25">
        <v>39028.019999999997</v>
      </c>
      <c r="T52" s="25">
        <v>997.79</v>
      </c>
      <c r="U52" s="26" t="s">
        <v>45</v>
      </c>
      <c r="V52" s="25">
        <v>0</v>
      </c>
      <c r="W52" s="25">
        <v>997.2</v>
      </c>
      <c r="X52" s="25">
        <v>12522.91</v>
      </c>
      <c r="Y52" s="26" t="s">
        <v>45</v>
      </c>
      <c r="Z52" s="25">
        <v>54617.3</v>
      </c>
      <c r="AA52" s="27">
        <v>2015</v>
      </c>
      <c r="AB52" s="25">
        <v>417.8</v>
      </c>
      <c r="AC52" s="25">
        <v>1.8505780070698052</v>
      </c>
      <c r="AD52" s="25">
        <v>165.10942199293021</v>
      </c>
      <c r="AE52" s="25">
        <v>25587.42</v>
      </c>
      <c r="AF52" s="25">
        <v>9266.02</v>
      </c>
      <c r="AG52" s="25">
        <v>260.44</v>
      </c>
      <c r="AH52" s="25">
        <v>685.52</v>
      </c>
      <c r="AI52" s="25">
        <v>2642.43</v>
      </c>
      <c r="AJ52" s="25">
        <v>39026.6</v>
      </c>
      <c r="AK52" s="27">
        <v>2015</v>
      </c>
      <c r="AL52" s="25">
        <v>26.520000000000003</v>
      </c>
      <c r="AM52" s="25">
        <v>0</v>
      </c>
      <c r="AN52" s="25">
        <v>7890.2499999999991</v>
      </c>
      <c r="AO52" s="25">
        <v>8448.9500000000007</v>
      </c>
      <c r="AP52" s="25">
        <v>297.62</v>
      </c>
      <c r="AQ52" s="25">
        <v>1088.3599999999999</v>
      </c>
      <c r="AR52" s="25">
        <v>3996.6800000000003</v>
      </c>
      <c r="AS52" s="25">
        <v>21748.36</v>
      </c>
      <c r="AT52" s="27">
        <v>2015</v>
      </c>
      <c r="AU52" s="25">
        <v>1833.85</v>
      </c>
      <c r="AV52" s="25">
        <v>397.30258526798519</v>
      </c>
      <c r="AW52" s="25">
        <v>165.11420907136716</v>
      </c>
      <c r="AX52" s="25">
        <v>88.253494523885905</v>
      </c>
      <c r="AY52" s="25">
        <v>0</v>
      </c>
      <c r="AZ52" s="25">
        <v>41895.689999999995</v>
      </c>
      <c r="BA52" s="25">
        <v>26094.58</v>
      </c>
      <c r="BB52" s="25">
        <v>1236.47</v>
      </c>
      <c r="BC52" s="25">
        <v>3884.36</v>
      </c>
      <c r="BD52" s="25">
        <v>62077.86</v>
      </c>
      <c r="BE52" s="25">
        <v>137699.98000000001</v>
      </c>
      <c r="BF52" s="27">
        <v>2015</v>
      </c>
      <c r="BG52" s="47">
        <v>26335.790901875036</v>
      </c>
      <c r="BH52" s="47">
        <v>673.30058773111978</v>
      </c>
      <c r="BI52" s="47">
        <v>12692.229098124961</v>
      </c>
      <c r="BJ52" s="47">
        <v>324.4894122688803</v>
      </c>
      <c r="BK52" s="47"/>
      <c r="BL52" s="47"/>
    </row>
    <row r="53" spans="1:64">
      <c r="A53" s="24">
        <v>2016</v>
      </c>
      <c r="B53" s="25">
        <v>1304.19</v>
      </c>
      <c r="C53" s="25">
        <v>224.84028620562586</v>
      </c>
      <c r="D53" s="25">
        <v>0</v>
      </c>
      <c r="E53" s="25">
        <v>66.604270696701406</v>
      </c>
      <c r="F53" s="25">
        <v>0</v>
      </c>
      <c r="G53" s="25">
        <v>8268.65</v>
      </c>
      <c r="H53" s="25">
        <v>8023.73</v>
      </c>
      <c r="I53" s="25">
        <v>666.96</v>
      </c>
      <c r="J53" s="25">
        <v>1194.1400000000001</v>
      </c>
      <c r="K53" s="25">
        <v>2146.44</v>
      </c>
      <c r="L53" s="25">
        <v>21918.48</v>
      </c>
      <c r="M53" s="27">
        <v>2016</v>
      </c>
      <c r="N53" s="25">
        <v>10.8</v>
      </c>
      <c r="O53" s="25">
        <v>0</v>
      </c>
      <c r="P53" s="25">
        <v>391.84</v>
      </c>
      <c r="Q53" s="25">
        <v>666.41</v>
      </c>
      <c r="R53" s="25">
        <v>11.43</v>
      </c>
      <c r="S53" s="25">
        <v>40309.269999999997</v>
      </c>
      <c r="T53" s="25">
        <v>1009.54</v>
      </c>
      <c r="U53" s="26" t="s">
        <v>45</v>
      </c>
      <c r="V53" s="25">
        <v>0</v>
      </c>
      <c r="W53" s="25">
        <v>995.23</v>
      </c>
      <c r="X53" s="25">
        <v>12691.07</v>
      </c>
      <c r="Y53" s="26" t="s">
        <v>45</v>
      </c>
      <c r="Z53" s="25">
        <v>56085.599999999999</v>
      </c>
      <c r="AA53" s="27">
        <v>2016</v>
      </c>
      <c r="AB53" s="25">
        <v>400.95</v>
      </c>
      <c r="AC53" s="25">
        <v>0</v>
      </c>
      <c r="AD53" s="25">
        <v>167.62</v>
      </c>
      <c r="AE53" s="25">
        <v>25999.57</v>
      </c>
      <c r="AF53" s="25">
        <v>9288.48</v>
      </c>
      <c r="AG53" s="25">
        <v>260.44</v>
      </c>
      <c r="AH53" s="25">
        <v>747.7</v>
      </c>
      <c r="AI53" s="25">
        <v>2663.68</v>
      </c>
      <c r="AJ53" s="25">
        <v>39528.44</v>
      </c>
      <c r="AK53" s="27">
        <v>2016</v>
      </c>
      <c r="AL53" s="25">
        <v>28.290000000000003</v>
      </c>
      <c r="AM53" s="25">
        <v>0</v>
      </c>
      <c r="AN53" s="25">
        <v>8015.0700000000006</v>
      </c>
      <c r="AO53" s="25">
        <v>8426.67</v>
      </c>
      <c r="AP53" s="25">
        <v>311.93</v>
      </c>
      <c r="AQ53" s="25">
        <v>1119.8</v>
      </c>
      <c r="AR53" s="25">
        <v>3997.6499999999996</v>
      </c>
      <c r="AS53" s="25">
        <v>21899.42</v>
      </c>
      <c r="AT53" s="27">
        <v>2016</v>
      </c>
      <c r="AU53" s="25">
        <v>1744.23</v>
      </c>
      <c r="AV53" s="25">
        <v>224.84028620562586</v>
      </c>
      <c r="AW53" s="25">
        <v>167.62247253749882</v>
      </c>
      <c r="AX53" s="25">
        <v>66.604270696701406</v>
      </c>
      <c r="AY53" s="25">
        <v>0</v>
      </c>
      <c r="AZ53" s="25">
        <v>42283.28</v>
      </c>
      <c r="BA53" s="25">
        <v>26142.17</v>
      </c>
      <c r="BB53" s="25">
        <v>1239.3399999999999</v>
      </c>
      <c r="BC53" s="25">
        <v>4071.2</v>
      </c>
      <c r="BD53" s="25">
        <v>63469.739999999991</v>
      </c>
      <c r="BE53" s="25">
        <v>139431.93</v>
      </c>
      <c r="BF53" s="27">
        <v>2016</v>
      </c>
      <c r="BG53" s="47">
        <v>26916.804509048743</v>
      </c>
      <c r="BH53" s="47">
        <v>674.12758464901663</v>
      </c>
      <c r="BI53" s="47">
        <v>13392.465490951259</v>
      </c>
      <c r="BJ53" s="47">
        <v>335.41241535098339</v>
      </c>
      <c r="BK53" s="47"/>
      <c r="BL53" s="47"/>
    </row>
    <row r="54" spans="1:64">
      <c r="A54" s="24">
        <v>2017</v>
      </c>
      <c r="B54" s="25">
        <v>1124.8499999999999</v>
      </c>
      <c r="C54" s="25">
        <v>210.33379840041491</v>
      </c>
      <c r="D54" s="25">
        <v>0</v>
      </c>
      <c r="E54" s="25">
        <v>65.006328279325174</v>
      </c>
      <c r="F54" s="25">
        <v>0</v>
      </c>
      <c r="G54" s="25">
        <v>8495.93</v>
      </c>
      <c r="H54" s="25">
        <v>7928.53</v>
      </c>
      <c r="I54" s="25">
        <v>709.08</v>
      </c>
      <c r="J54" s="25">
        <v>1232.8599999999999</v>
      </c>
      <c r="K54" s="25">
        <v>2116</v>
      </c>
      <c r="L54" s="25">
        <v>21903.22</v>
      </c>
      <c r="M54" s="27">
        <v>2017</v>
      </c>
      <c r="N54" s="25">
        <v>10.77</v>
      </c>
      <c r="O54" s="25">
        <v>0</v>
      </c>
      <c r="P54" s="25">
        <v>400.21</v>
      </c>
      <c r="Q54" s="25">
        <v>661.42</v>
      </c>
      <c r="R54" s="25">
        <v>15.82</v>
      </c>
      <c r="S54" s="25">
        <v>40592.699999999997</v>
      </c>
      <c r="T54" s="25">
        <v>997.12</v>
      </c>
      <c r="U54" s="26" t="s">
        <v>45</v>
      </c>
      <c r="V54" s="25">
        <v>0</v>
      </c>
      <c r="W54" s="25">
        <v>1017.12</v>
      </c>
      <c r="X54" s="25">
        <v>13757.92</v>
      </c>
      <c r="Y54" s="26" t="s">
        <v>45</v>
      </c>
      <c r="Z54" s="25">
        <v>57453.08</v>
      </c>
      <c r="AA54" s="27">
        <v>2017</v>
      </c>
      <c r="AB54" s="25">
        <v>370.53</v>
      </c>
      <c r="AC54" s="25">
        <v>0</v>
      </c>
      <c r="AD54" s="25">
        <v>172.41</v>
      </c>
      <c r="AE54" s="25">
        <v>25431.94</v>
      </c>
      <c r="AF54" s="25">
        <v>9056.1</v>
      </c>
      <c r="AG54" s="25">
        <v>268.56</v>
      </c>
      <c r="AH54" s="25">
        <v>781.67</v>
      </c>
      <c r="AI54" s="25">
        <v>2537.5100000000002</v>
      </c>
      <c r="AJ54" s="25">
        <v>38618.730000000003</v>
      </c>
      <c r="AK54" s="27">
        <v>2017</v>
      </c>
      <c r="AL54" s="25">
        <v>26.870000000000005</v>
      </c>
      <c r="AM54" s="25">
        <v>0</v>
      </c>
      <c r="AN54" s="25">
        <v>7959.1600000000008</v>
      </c>
      <c r="AO54" s="25">
        <v>8336.94</v>
      </c>
      <c r="AP54" s="25">
        <v>293.14999999999998</v>
      </c>
      <c r="AQ54" s="25">
        <v>1272.5899999999997</v>
      </c>
      <c r="AR54" s="25">
        <v>3922.97</v>
      </c>
      <c r="AS54" s="25">
        <v>21811.690000000002</v>
      </c>
      <c r="AT54" s="27">
        <v>2017</v>
      </c>
      <c r="AU54" s="25">
        <v>1533.02</v>
      </c>
      <c r="AV54" s="25">
        <v>210.33379840041491</v>
      </c>
      <c r="AW54" s="25">
        <v>172.40530705550782</v>
      </c>
      <c r="AX54" s="25">
        <v>65.006328279325174</v>
      </c>
      <c r="AY54" s="25">
        <v>0</v>
      </c>
      <c r="AZ54" s="25">
        <v>41887.03</v>
      </c>
      <c r="BA54" s="25">
        <v>25737.61</v>
      </c>
      <c r="BB54" s="25">
        <v>1270.79</v>
      </c>
      <c r="BC54" s="25">
        <v>4284.25</v>
      </c>
      <c r="BD54" s="25">
        <v>64605.63</v>
      </c>
      <c r="BE54" s="25">
        <v>139786.72</v>
      </c>
      <c r="BF54" s="27">
        <v>2017</v>
      </c>
      <c r="BG54" s="47">
        <v>27005.032310553641</v>
      </c>
      <c r="BH54" s="47">
        <v>663.35222386042938</v>
      </c>
      <c r="BI54" s="47">
        <v>13587.667689446358</v>
      </c>
      <c r="BJ54" s="47">
        <v>333.76777613957074</v>
      </c>
      <c r="BK54" s="47"/>
      <c r="BL54" s="47"/>
    </row>
    <row r="55" spans="1:64">
      <c r="A55" s="24">
        <v>2018</v>
      </c>
      <c r="B55" s="25">
        <v>1071.67</v>
      </c>
      <c r="C55" s="25">
        <v>192.92275723703065</v>
      </c>
      <c r="D55" s="25">
        <v>0</v>
      </c>
      <c r="E55" s="25">
        <v>63.486588647338984</v>
      </c>
      <c r="F55" s="25">
        <v>0</v>
      </c>
      <c r="G55" s="25">
        <v>8971.98</v>
      </c>
      <c r="H55" s="25">
        <v>7902.49</v>
      </c>
      <c r="I55" s="25">
        <v>704.88</v>
      </c>
      <c r="J55" s="25">
        <v>1432.5</v>
      </c>
      <c r="K55" s="25">
        <v>2123.2600000000002</v>
      </c>
      <c r="L55" s="25">
        <v>22472.400000000001</v>
      </c>
      <c r="M55" s="27">
        <v>2018</v>
      </c>
      <c r="N55" s="25">
        <v>10.77</v>
      </c>
      <c r="O55" s="25">
        <v>0</v>
      </c>
      <c r="P55" s="25">
        <v>434.52</v>
      </c>
      <c r="Q55" s="25">
        <v>577.23</v>
      </c>
      <c r="R55" s="25">
        <v>52.77</v>
      </c>
      <c r="S55" s="25">
        <v>40151.18</v>
      </c>
      <c r="T55" s="25">
        <v>1420.89</v>
      </c>
      <c r="U55" s="25">
        <v>9.7200000000000006</v>
      </c>
      <c r="V55" s="25">
        <v>0</v>
      </c>
      <c r="W55" s="25">
        <v>1028.53</v>
      </c>
      <c r="X55" s="25">
        <v>13565.43</v>
      </c>
      <c r="Y55" s="26" t="s">
        <v>45</v>
      </c>
      <c r="Z55" s="25">
        <v>57251.040000000001</v>
      </c>
      <c r="AA55" s="27">
        <v>2018</v>
      </c>
      <c r="AB55" s="25">
        <v>358.49</v>
      </c>
      <c r="AC55" s="25">
        <v>0</v>
      </c>
      <c r="AD55" s="25">
        <v>170.87</v>
      </c>
      <c r="AE55" s="25">
        <v>26044.91</v>
      </c>
      <c r="AF55" s="25">
        <v>9111.0300000000007</v>
      </c>
      <c r="AG55" s="25">
        <v>269.86</v>
      </c>
      <c r="AH55" s="25">
        <v>879.19</v>
      </c>
      <c r="AI55" s="25">
        <v>2595.9499999999998</v>
      </c>
      <c r="AJ55" s="25">
        <v>39430.29</v>
      </c>
      <c r="AK55" s="27">
        <v>2018</v>
      </c>
      <c r="AL55" s="25">
        <v>26.35</v>
      </c>
      <c r="AM55" s="25">
        <v>0</v>
      </c>
      <c r="AN55" s="25">
        <v>8408.84</v>
      </c>
      <c r="AO55" s="25">
        <v>8325.8700000000008</v>
      </c>
      <c r="AP55" s="25">
        <v>309.77</v>
      </c>
      <c r="AQ55" s="25">
        <v>1314.49</v>
      </c>
      <c r="AR55" s="25">
        <v>3958.88</v>
      </c>
      <c r="AS55" s="25">
        <v>22344.210000000003</v>
      </c>
      <c r="AT55" s="27">
        <v>2018</v>
      </c>
      <c r="AU55" s="25">
        <v>1467.28</v>
      </c>
      <c r="AV55" s="25">
        <v>192.92275723703065</v>
      </c>
      <c r="AW55" s="25">
        <v>170.86665251265882</v>
      </c>
      <c r="AX55" s="25">
        <v>63.486588647338984</v>
      </c>
      <c r="AY55" s="25">
        <v>0</v>
      </c>
      <c r="AZ55" s="25">
        <v>43435.45</v>
      </c>
      <c r="BA55" s="25">
        <v>25826.68</v>
      </c>
      <c r="BB55" s="25">
        <v>1284.51</v>
      </c>
      <c r="BC55" s="25">
        <v>5047.07</v>
      </c>
      <c r="BD55" s="25">
        <v>64000.46</v>
      </c>
      <c r="BE55" s="25">
        <v>141497.94</v>
      </c>
      <c r="BF55" s="27">
        <v>2018</v>
      </c>
      <c r="BG55" s="47">
        <v>26543.376604845351</v>
      </c>
      <c r="BH55" s="47">
        <v>939.33026088047006</v>
      </c>
      <c r="BI55" s="47">
        <v>13607.803395154649</v>
      </c>
      <c r="BJ55" s="47">
        <v>481.55973911953004</v>
      </c>
      <c r="BK55" s="47"/>
      <c r="BL55" s="47"/>
    </row>
    <row r="56" spans="1:64">
      <c r="A56" s="24">
        <v>2019</v>
      </c>
      <c r="B56" s="25">
        <v>930.57</v>
      </c>
      <c r="C56" s="25">
        <v>198.43605617655493</v>
      </c>
      <c r="D56" s="25">
        <v>0</v>
      </c>
      <c r="E56" s="25">
        <v>86.11340896892105</v>
      </c>
      <c r="F56" s="25">
        <v>0</v>
      </c>
      <c r="G56" s="25">
        <v>8718.42</v>
      </c>
      <c r="H56" s="25">
        <v>7941.25</v>
      </c>
      <c r="I56" s="25">
        <v>689.47</v>
      </c>
      <c r="J56" s="25">
        <v>1522.03</v>
      </c>
      <c r="K56" s="25">
        <v>2098.7800000000002</v>
      </c>
      <c r="L56" s="25">
        <v>22274.12</v>
      </c>
      <c r="M56" s="27">
        <v>2019</v>
      </c>
      <c r="N56" s="25">
        <v>10.77</v>
      </c>
      <c r="O56" s="25">
        <v>0</v>
      </c>
      <c r="P56" s="25">
        <v>454.85</v>
      </c>
      <c r="Q56" s="25">
        <v>601.16999999999996</v>
      </c>
      <c r="R56" s="25">
        <v>73.400000000000006</v>
      </c>
      <c r="S56" s="25">
        <v>38870.370000000003</v>
      </c>
      <c r="T56" s="25">
        <v>1907.28</v>
      </c>
      <c r="U56" s="25">
        <v>42.73</v>
      </c>
      <c r="V56" s="25">
        <v>0</v>
      </c>
      <c r="W56" s="25">
        <v>972.5</v>
      </c>
      <c r="X56" s="25">
        <v>13342.09</v>
      </c>
      <c r="Y56" s="26" t="s">
        <v>45</v>
      </c>
      <c r="Z56" s="25">
        <v>56275.15</v>
      </c>
      <c r="AA56" s="27">
        <v>2019</v>
      </c>
      <c r="AB56" s="25">
        <v>336.98</v>
      </c>
      <c r="AC56" s="25">
        <v>0</v>
      </c>
      <c r="AD56" s="25">
        <v>142.02000000000001</v>
      </c>
      <c r="AE56" s="25">
        <v>25144.35</v>
      </c>
      <c r="AF56" s="25">
        <v>8940.58</v>
      </c>
      <c r="AG56" s="25">
        <v>260.44</v>
      </c>
      <c r="AH56" s="25">
        <v>941.52</v>
      </c>
      <c r="AI56" s="25">
        <v>2572.89</v>
      </c>
      <c r="AJ56" s="25">
        <v>38338.78</v>
      </c>
      <c r="AK56" s="27">
        <v>2019</v>
      </c>
      <c r="AL56" s="25">
        <v>21.509999999999998</v>
      </c>
      <c r="AM56" s="25">
        <v>0</v>
      </c>
      <c r="AN56" s="25">
        <v>8393.84</v>
      </c>
      <c r="AO56" s="25">
        <v>8139.41</v>
      </c>
      <c r="AP56" s="25">
        <v>290.81</v>
      </c>
      <c r="AQ56" s="25">
        <v>1373.3799999999999</v>
      </c>
      <c r="AR56" s="25">
        <v>3933.31</v>
      </c>
      <c r="AS56" s="25">
        <v>22152.29</v>
      </c>
      <c r="AT56" s="27">
        <v>2019</v>
      </c>
      <c r="AU56" s="25">
        <v>1299.83</v>
      </c>
      <c r="AV56" s="25">
        <v>198.43605617655493</v>
      </c>
      <c r="AW56" s="25">
        <v>142.02289314512277</v>
      </c>
      <c r="AX56" s="25">
        <v>86.11340896892105</v>
      </c>
      <c r="AY56" s="25">
        <v>0</v>
      </c>
      <c r="AZ56" s="25">
        <v>42299.340000000004</v>
      </c>
      <c r="BA56" s="25">
        <v>25549.49</v>
      </c>
      <c r="BB56" s="25">
        <v>1240.73</v>
      </c>
      <c r="BC56" s="25">
        <v>5744.22</v>
      </c>
      <c r="BD56" s="25">
        <v>62391.12999999999</v>
      </c>
      <c r="BE56" s="25">
        <v>139040.35</v>
      </c>
      <c r="BF56" s="27">
        <v>2019</v>
      </c>
      <c r="BG56" s="47">
        <v>25799.743387664948</v>
      </c>
      <c r="BH56" s="47">
        <v>1265.9342982437677</v>
      </c>
      <c r="BI56" s="47">
        <v>13070.626612335049</v>
      </c>
      <c r="BJ56" s="47">
        <v>641.34570175623207</v>
      </c>
      <c r="BK56" s="47"/>
      <c r="BL56" s="47"/>
    </row>
    <row r="57" spans="1:64">
      <c r="A57" s="24">
        <v>2020</v>
      </c>
      <c r="B57" s="25">
        <v>799.09</v>
      </c>
      <c r="C57" s="25">
        <v>207.73734594439665</v>
      </c>
      <c r="D57" s="25">
        <v>0</v>
      </c>
      <c r="E57" s="25">
        <v>101.19092498500395</v>
      </c>
      <c r="F57" s="25">
        <v>0</v>
      </c>
      <c r="G57" s="25">
        <v>8239.9</v>
      </c>
      <c r="H57" s="25">
        <v>7371.54</v>
      </c>
      <c r="I57" s="25">
        <v>653.59</v>
      </c>
      <c r="J57" s="25">
        <v>1774.55</v>
      </c>
      <c r="K57" s="25">
        <v>2102.15</v>
      </c>
      <c r="L57" s="25">
        <v>21345.74</v>
      </c>
      <c r="M57" s="27">
        <v>2020</v>
      </c>
      <c r="N57" s="25">
        <v>9.4700000000000006</v>
      </c>
      <c r="O57" s="25">
        <v>0</v>
      </c>
      <c r="P57" s="25">
        <v>416.65</v>
      </c>
      <c r="Q57" s="25">
        <v>471.87</v>
      </c>
      <c r="R57" s="25">
        <v>96.91</v>
      </c>
      <c r="S57" s="25">
        <v>32432.89</v>
      </c>
      <c r="T57" s="25">
        <v>1821.98</v>
      </c>
      <c r="U57" s="25">
        <v>76.22</v>
      </c>
      <c r="V57" s="25">
        <v>0</v>
      </c>
      <c r="W57" s="25">
        <v>617.69000000000005</v>
      </c>
      <c r="X57" s="25">
        <v>5768.14</v>
      </c>
      <c r="Y57" s="26" t="s">
        <v>45</v>
      </c>
      <c r="Z57" s="25">
        <v>41711.82</v>
      </c>
      <c r="AA57" s="27">
        <v>2020</v>
      </c>
      <c r="AB57" s="25">
        <v>320.85000000000002</v>
      </c>
      <c r="AC57" s="25">
        <v>0</v>
      </c>
      <c r="AD57" s="25">
        <v>140.85</v>
      </c>
      <c r="AE57" s="25">
        <v>25813.03</v>
      </c>
      <c r="AF57" s="25">
        <v>9249.64</v>
      </c>
      <c r="AG57" s="25">
        <v>272.24</v>
      </c>
      <c r="AH57" s="25">
        <v>1021.5</v>
      </c>
      <c r="AI57" s="25">
        <v>2572.4299999999998</v>
      </c>
      <c r="AJ57" s="25">
        <v>39390.54</v>
      </c>
      <c r="AK57" s="27">
        <v>2020</v>
      </c>
      <c r="AL57" s="25">
        <v>21.47</v>
      </c>
      <c r="AM57" s="25">
        <v>0</v>
      </c>
      <c r="AN57" s="25">
        <v>7684.25</v>
      </c>
      <c r="AO57" s="25">
        <v>6902.73</v>
      </c>
      <c r="AP57" s="25">
        <v>324.05</v>
      </c>
      <c r="AQ57" s="25">
        <v>1401.6799999999998</v>
      </c>
      <c r="AR57" s="25">
        <v>3751.46</v>
      </c>
      <c r="AS57" s="25">
        <v>20085.64</v>
      </c>
      <c r="AT57" s="27">
        <v>2020</v>
      </c>
      <c r="AU57" s="25">
        <v>1150.8900000000001</v>
      </c>
      <c r="AV57" s="25">
        <v>207.73734594439665</v>
      </c>
      <c r="AW57" s="25">
        <v>140.84867791153147</v>
      </c>
      <c r="AX57" s="25">
        <v>101.19092498500395</v>
      </c>
      <c r="AY57" s="25">
        <v>0</v>
      </c>
      <c r="AZ57" s="25">
        <v>41813.39</v>
      </c>
      <c r="BA57" s="25">
        <v>24037.46</v>
      </c>
      <c r="BB57" s="25">
        <v>1249.8800000000001</v>
      </c>
      <c r="BC57" s="25">
        <v>6019.7</v>
      </c>
      <c r="BD57" s="25">
        <v>47716.639999999999</v>
      </c>
      <c r="BE57" s="25">
        <v>122533.73</v>
      </c>
      <c r="BF57" s="27">
        <v>2020</v>
      </c>
      <c r="BG57" s="47">
        <v>19856.617236769554</v>
      </c>
      <c r="BH57" s="47">
        <v>1115.4836794701118</v>
      </c>
      <c r="BI57" s="47">
        <v>12576.272763230443</v>
      </c>
      <c r="BJ57" s="47">
        <v>706.49632052988818</v>
      </c>
      <c r="BK57" s="45"/>
      <c r="BL57" s="45"/>
    </row>
    <row r="58" spans="1:64">
      <c r="A58" s="24">
        <v>2021</v>
      </c>
      <c r="B58" s="25">
        <v>754.99</v>
      </c>
      <c r="C58" s="25">
        <v>221.61881627973634</v>
      </c>
      <c r="D58" s="25">
        <v>0</v>
      </c>
      <c r="E58" s="25">
        <v>104.41833053482375</v>
      </c>
      <c r="F58" s="25">
        <v>0</v>
      </c>
      <c r="G58" s="25">
        <v>8201.2199999999993</v>
      </c>
      <c r="H58" s="25">
        <v>7578.79</v>
      </c>
      <c r="I58" s="25">
        <v>644.72</v>
      </c>
      <c r="J58" s="25">
        <v>1749.75</v>
      </c>
      <c r="K58" s="25">
        <v>2231.38</v>
      </c>
      <c r="L58" s="25">
        <v>21593.77</v>
      </c>
      <c r="M58" s="27">
        <v>2021</v>
      </c>
      <c r="N58" s="25">
        <v>10.050000000000001</v>
      </c>
      <c r="O58" s="25">
        <v>0</v>
      </c>
      <c r="P58" s="25">
        <v>407.4</v>
      </c>
      <c r="Q58" s="25">
        <v>551.66</v>
      </c>
      <c r="R58" s="25">
        <v>194.52</v>
      </c>
      <c r="S58" s="25">
        <v>35323.81</v>
      </c>
      <c r="T58" s="25">
        <v>1775.61</v>
      </c>
      <c r="U58" s="25">
        <v>84.09</v>
      </c>
      <c r="V58" s="25">
        <v>0</v>
      </c>
      <c r="W58" s="25">
        <v>689.99</v>
      </c>
      <c r="X58" s="25">
        <v>5341.67</v>
      </c>
      <c r="Y58" s="25">
        <v>16.350000000000001</v>
      </c>
      <c r="Z58" s="25">
        <v>44395.15</v>
      </c>
      <c r="AA58" s="27">
        <v>2021</v>
      </c>
      <c r="AB58" s="25">
        <v>323.39999999999998</v>
      </c>
      <c r="AC58" s="25">
        <v>0</v>
      </c>
      <c r="AD58" s="25">
        <v>150.88</v>
      </c>
      <c r="AE58" s="25">
        <v>27411.55</v>
      </c>
      <c r="AF58" s="25">
        <v>9166.4599999999991</v>
      </c>
      <c r="AG58" s="25">
        <v>272.38</v>
      </c>
      <c r="AH58" s="25">
        <v>1147.02</v>
      </c>
      <c r="AI58" s="25">
        <v>2453.1</v>
      </c>
      <c r="AJ58" s="25">
        <v>40924.79</v>
      </c>
      <c r="AK58" s="27">
        <v>2021</v>
      </c>
      <c r="AL58" s="25">
        <v>21.270000000000003</v>
      </c>
      <c r="AM58" s="25">
        <v>0</v>
      </c>
      <c r="AN58" s="25">
        <v>8472.02</v>
      </c>
      <c r="AO58" s="25">
        <v>7178.08</v>
      </c>
      <c r="AP58" s="25">
        <v>333.34</v>
      </c>
      <c r="AQ58" s="25">
        <v>1476.52</v>
      </c>
      <c r="AR58" s="25">
        <v>3710.5199999999995</v>
      </c>
      <c r="AS58" s="25">
        <v>21191.759999999998</v>
      </c>
      <c r="AT58" s="27">
        <v>2021</v>
      </c>
      <c r="AU58" s="25">
        <v>1109.72</v>
      </c>
      <c r="AV58" s="25">
        <v>221.61881627973634</v>
      </c>
      <c r="AW58" s="25">
        <v>150.87533109509837</v>
      </c>
      <c r="AX58" s="25">
        <v>104.41833053482375</v>
      </c>
      <c r="AY58" s="25">
        <v>0</v>
      </c>
      <c r="AZ58" s="25">
        <v>44168.890000000007</v>
      </c>
      <c r="BA58" s="25">
        <v>24525.24</v>
      </c>
      <c r="BB58" s="25">
        <v>1250.45</v>
      </c>
      <c r="BC58" s="25">
        <v>6165.25</v>
      </c>
      <c r="BD58" s="25">
        <v>50302.12</v>
      </c>
      <c r="BE58" s="25">
        <v>128105.48</v>
      </c>
      <c r="BF58" s="27">
        <v>2021</v>
      </c>
      <c r="BG58" s="47">
        <v>21568.457698303533</v>
      </c>
      <c r="BH58" s="47">
        <v>1084.1743620998056</v>
      </c>
      <c r="BI58" s="47">
        <v>13755.352301696463</v>
      </c>
      <c r="BJ58" s="47">
        <v>691.43563790019414</v>
      </c>
      <c r="BK58" s="45"/>
      <c r="BL58" s="45"/>
    </row>
    <row r="59" spans="1:64">
      <c r="A59" s="24">
        <v>2022</v>
      </c>
      <c r="B59" s="25">
        <v>709.87</v>
      </c>
      <c r="C59" s="25">
        <v>237.58289863380145</v>
      </c>
      <c r="D59" s="25">
        <v>0</v>
      </c>
      <c r="E59" s="25">
        <v>95.426294937231305</v>
      </c>
      <c r="F59" s="25">
        <v>0</v>
      </c>
      <c r="G59" s="25">
        <v>7501.98</v>
      </c>
      <c r="H59" s="25">
        <v>7477.37</v>
      </c>
      <c r="I59" s="25">
        <v>601.19000000000005</v>
      </c>
      <c r="J59" s="25">
        <v>1760.29</v>
      </c>
      <c r="K59" s="25">
        <v>2190.86</v>
      </c>
      <c r="L59" s="25">
        <v>20638.95</v>
      </c>
      <c r="M59" s="27">
        <v>2022</v>
      </c>
      <c r="N59" s="25">
        <v>10.77</v>
      </c>
      <c r="O59" s="25">
        <v>0</v>
      </c>
      <c r="P59" s="25">
        <v>407.38</v>
      </c>
      <c r="Q59" s="25">
        <v>588.5</v>
      </c>
      <c r="R59" s="25">
        <v>342.96</v>
      </c>
      <c r="S59" s="25">
        <v>35612.29</v>
      </c>
      <c r="T59" s="25">
        <v>2312.5</v>
      </c>
      <c r="U59" s="25">
        <v>84.09</v>
      </c>
      <c r="V59" s="25">
        <v>0</v>
      </c>
      <c r="W59" s="25">
        <v>794.56</v>
      </c>
      <c r="X59" s="25">
        <v>10588.33</v>
      </c>
      <c r="Y59" s="25">
        <v>42.01</v>
      </c>
      <c r="Z59" s="25">
        <v>50783.38</v>
      </c>
      <c r="AA59" s="27">
        <v>2022</v>
      </c>
      <c r="AB59" s="25">
        <v>304.32</v>
      </c>
      <c r="AC59" s="25">
        <v>0</v>
      </c>
      <c r="AD59" s="25">
        <v>159.91999999999999</v>
      </c>
      <c r="AE59" s="25">
        <v>22277.84</v>
      </c>
      <c r="AF59" s="25">
        <v>8204.36</v>
      </c>
      <c r="AG59" s="25">
        <v>271.37</v>
      </c>
      <c r="AH59" s="25">
        <v>1178.3</v>
      </c>
      <c r="AI59" s="25">
        <v>1907.11</v>
      </c>
      <c r="AJ59" s="25">
        <v>34303.21</v>
      </c>
      <c r="AK59" s="27">
        <v>2022</v>
      </c>
      <c r="AL59" s="25">
        <v>18.939999999999998</v>
      </c>
      <c r="AM59" s="25">
        <v>0</v>
      </c>
      <c r="AN59" s="25">
        <v>7757.7899999999991</v>
      </c>
      <c r="AO59" s="25">
        <v>6990.9300000000012</v>
      </c>
      <c r="AP59" s="25">
        <v>347.5</v>
      </c>
      <c r="AQ59" s="25">
        <v>1442.57</v>
      </c>
      <c r="AR59" s="25">
        <v>3471.0299999999997</v>
      </c>
      <c r="AS59" s="25">
        <v>20028.759999999998</v>
      </c>
      <c r="AT59" s="27">
        <v>2022</v>
      </c>
      <c r="AU59" s="25">
        <v>1043.9000000000001</v>
      </c>
      <c r="AV59" s="25">
        <v>237.58289863380145</v>
      </c>
      <c r="AW59" s="25">
        <v>159.917305588994</v>
      </c>
      <c r="AX59" s="25">
        <v>95.426294937231305</v>
      </c>
      <c r="AY59" s="25">
        <v>0</v>
      </c>
      <c r="AZ59" s="25">
        <v>37621.69</v>
      </c>
      <c r="BA59" s="25">
        <v>23423</v>
      </c>
      <c r="BB59" s="25">
        <v>1220.04</v>
      </c>
      <c r="BC59" s="25">
        <v>6735.67</v>
      </c>
      <c r="BD59" s="25">
        <v>55152.670000000006</v>
      </c>
      <c r="BE59" s="25">
        <v>125754.29</v>
      </c>
      <c r="BF59" s="27">
        <v>2022</v>
      </c>
      <c r="BG59" s="47">
        <v>22309.517427557796</v>
      </c>
      <c r="BH59" s="47">
        <v>1448.6785054043814</v>
      </c>
      <c r="BI59" s="47">
        <v>13302.772572442207</v>
      </c>
      <c r="BJ59" s="47">
        <v>863.82149459561867</v>
      </c>
      <c r="BK59" s="45"/>
      <c r="BL59" s="45"/>
    </row>
    <row r="60" spans="1:64">
      <c r="A60" s="24">
        <v>2023</v>
      </c>
      <c r="B60" s="25">
        <v>668.31</v>
      </c>
      <c r="C60" s="25">
        <v>157.17741950893284</v>
      </c>
      <c r="D60" s="25">
        <v>0</v>
      </c>
      <c r="E60" s="25">
        <v>62.128938311263973</v>
      </c>
      <c r="F60" s="25">
        <v>0</v>
      </c>
      <c r="G60" s="25">
        <v>7504.22</v>
      </c>
      <c r="H60" s="25">
        <v>7411.03</v>
      </c>
      <c r="I60" s="25">
        <v>586.35</v>
      </c>
      <c r="J60" s="25">
        <v>1745.41</v>
      </c>
      <c r="K60" s="25">
        <v>2211.63</v>
      </c>
      <c r="L60" s="25">
        <v>20421.05</v>
      </c>
      <c r="M60" s="27">
        <v>2023</v>
      </c>
      <c r="N60" s="26">
        <v>10.77</v>
      </c>
      <c r="O60" s="25">
        <v>0</v>
      </c>
      <c r="P60" s="26">
        <v>407.54</v>
      </c>
      <c r="Q60" s="26">
        <v>588.12</v>
      </c>
      <c r="R60" s="26">
        <v>531.46</v>
      </c>
      <c r="S60" s="26">
        <v>35238.160000000003</v>
      </c>
      <c r="T60" s="26">
        <v>2575.65</v>
      </c>
      <c r="U60" s="26">
        <v>84.09</v>
      </c>
      <c r="V60" s="26">
        <v>0</v>
      </c>
      <c r="W60" s="26">
        <v>784.63</v>
      </c>
      <c r="X60" s="26">
        <v>12258.48</v>
      </c>
      <c r="Y60" s="26">
        <v>121.76</v>
      </c>
      <c r="Z60" s="26">
        <v>52600.67</v>
      </c>
      <c r="AA60" s="27">
        <v>2023</v>
      </c>
      <c r="AB60" s="25">
        <v>139.84</v>
      </c>
      <c r="AC60" s="25">
        <v>0</v>
      </c>
      <c r="AD60" s="25">
        <v>127.42</v>
      </c>
      <c r="AE60" s="25">
        <v>20386.919999999998</v>
      </c>
      <c r="AF60" s="25">
        <v>7958.36</v>
      </c>
      <c r="AG60" s="25">
        <v>270.95</v>
      </c>
      <c r="AH60" s="25">
        <v>1299.73</v>
      </c>
      <c r="AI60" s="25">
        <v>2065.15</v>
      </c>
      <c r="AJ60" s="25">
        <v>32248.36</v>
      </c>
      <c r="AK60" s="27">
        <v>2023</v>
      </c>
      <c r="AL60" s="25">
        <v>9.18</v>
      </c>
      <c r="AM60" s="25">
        <v>0</v>
      </c>
      <c r="AN60" s="25">
        <v>7654.7400000000007</v>
      </c>
      <c r="AO60" s="25">
        <v>6828.83</v>
      </c>
      <c r="AP60" s="25">
        <v>329.66</v>
      </c>
      <c r="AQ60" s="25">
        <v>1453.75</v>
      </c>
      <c r="AR60" s="25">
        <v>3501.3999999999996</v>
      </c>
      <c r="AS60" s="25">
        <v>19777.550000000003</v>
      </c>
      <c r="AT60" s="27">
        <v>2023</v>
      </c>
      <c r="AU60" s="25">
        <v>828.11</v>
      </c>
      <c r="AV60" s="25">
        <v>157.17741950893284</v>
      </c>
      <c r="AW60" s="25">
        <v>127.41708237794973</v>
      </c>
      <c r="AX60" s="25">
        <v>62.128938311263973</v>
      </c>
      <c r="AY60" s="25">
        <v>0</v>
      </c>
      <c r="AZ60" s="25">
        <v>35629.96</v>
      </c>
      <c r="BA60" s="25">
        <v>23137.24</v>
      </c>
      <c r="BB60" s="25">
        <v>1186.95</v>
      </c>
      <c r="BC60" s="25">
        <v>7196.3</v>
      </c>
      <c r="BD60" s="25">
        <v>56647.57</v>
      </c>
      <c r="BE60" s="25">
        <v>125047.64</v>
      </c>
      <c r="BF60" s="54"/>
      <c r="BG60" s="47"/>
      <c r="BH60" s="47"/>
      <c r="BI60" s="47"/>
      <c r="BJ60" s="47"/>
      <c r="BK60" s="45"/>
      <c r="BL60" s="45"/>
    </row>
    <row r="61" spans="1:64">
      <c r="A61" s="31"/>
      <c r="B61" s="25"/>
      <c r="C61" s="25"/>
      <c r="D61" s="25"/>
      <c r="E61" s="25"/>
      <c r="F61" s="25"/>
      <c r="G61" s="25"/>
      <c r="H61" s="25"/>
      <c r="I61" s="25"/>
      <c r="J61" s="25"/>
      <c r="K61" s="25"/>
      <c r="L61" s="25"/>
      <c r="M61" s="45"/>
      <c r="N61" s="45"/>
      <c r="O61" s="45"/>
      <c r="P61" s="45"/>
      <c r="Q61" s="45"/>
      <c r="R61" s="45"/>
      <c r="S61" s="45"/>
      <c r="T61" s="45"/>
      <c r="U61" s="45"/>
      <c r="V61" s="45"/>
      <c r="W61" s="45"/>
      <c r="X61" s="45"/>
      <c r="Y61" s="45"/>
      <c r="Z61" s="45"/>
      <c r="AA61" s="32"/>
      <c r="AB61" s="45"/>
      <c r="AC61" s="45"/>
      <c r="AD61" s="45"/>
      <c r="AE61" s="45"/>
      <c r="AF61" s="45"/>
      <c r="AG61" s="45"/>
      <c r="AH61" s="45"/>
      <c r="AI61" s="45"/>
      <c r="AJ61" s="2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row>
    <row r="62" spans="1:64">
      <c r="A62" s="31"/>
      <c r="B62" s="25"/>
      <c r="C62" s="25"/>
      <c r="D62" s="25"/>
      <c r="E62" s="25"/>
      <c r="F62" s="25"/>
      <c r="G62" s="25"/>
      <c r="H62" s="25"/>
      <c r="I62" s="25"/>
      <c r="J62" s="25"/>
      <c r="K62" s="25"/>
      <c r="L62" s="25"/>
      <c r="M62" s="45"/>
      <c r="N62" s="45"/>
      <c r="O62" s="45"/>
      <c r="P62" s="45"/>
      <c r="Q62" s="45"/>
      <c r="R62" s="45"/>
      <c r="S62" s="45"/>
      <c r="T62" s="45"/>
      <c r="U62" s="45"/>
      <c r="V62" s="45"/>
      <c r="W62" s="45"/>
      <c r="X62" s="45"/>
      <c r="Y62" s="45"/>
      <c r="Z62" s="47"/>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row>
    <row r="63" spans="1:64">
      <c r="A63" s="31"/>
      <c r="B63" s="25"/>
      <c r="C63" s="25"/>
      <c r="D63" s="25"/>
      <c r="E63" s="25"/>
      <c r="F63" s="25"/>
      <c r="G63" s="25"/>
      <c r="H63" s="25"/>
      <c r="I63" s="25"/>
      <c r="J63" s="25"/>
      <c r="K63" s="25"/>
      <c r="L63" s="25"/>
      <c r="M63" s="45"/>
      <c r="N63" s="45"/>
      <c r="O63" s="45"/>
      <c r="P63" s="45"/>
      <c r="Q63" s="45"/>
      <c r="R63" s="45"/>
      <c r="S63" s="45"/>
      <c r="T63" s="45"/>
      <c r="U63" s="45"/>
      <c r="V63" s="45"/>
      <c r="W63" s="45"/>
      <c r="X63" s="45"/>
      <c r="Y63" s="45"/>
      <c r="Z63" s="47"/>
      <c r="AA63" s="45"/>
      <c r="AB63" s="45"/>
      <c r="AC63" s="45"/>
      <c r="AD63" s="45"/>
      <c r="AE63" s="45"/>
      <c r="AF63" s="45"/>
      <c r="AG63" s="45"/>
      <c r="AH63" s="45"/>
      <c r="AI63" s="45"/>
      <c r="AJ63" s="47"/>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row>
    <row r="64" spans="1:64">
      <c r="A64" s="31"/>
      <c r="B64" s="25"/>
      <c r="C64" s="25"/>
      <c r="D64" s="25"/>
      <c r="E64" s="25"/>
      <c r="F64" s="25"/>
      <c r="G64" s="25"/>
      <c r="H64" s="25"/>
      <c r="I64" s="25"/>
      <c r="J64" s="25"/>
      <c r="K64" s="25"/>
      <c r="L64" s="25"/>
      <c r="M64" s="45"/>
      <c r="N64" s="45"/>
      <c r="O64" s="45"/>
      <c r="P64" s="45"/>
      <c r="Q64" s="45"/>
      <c r="R64" s="45"/>
      <c r="S64" s="45"/>
      <c r="T64" s="45"/>
      <c r="U64" s="45"/>
      <c r="V64" s="45"/>
      <c r="W64" s="45"/>
      <c r="X64" s="45"/>
      <c r="Y64" s="45"/>
      <c r="Z64" s="45"/>
      <c r="AA64" s="45"/>
      <c r="AB64" s="45"/>
      <c r="AC64" s="45"/>
      <c r="AD64" s="45"/>
      <c r="AE64" s="45"/>
      <c r="AF64" s="45"/>
      <c r="AG64" s="45"/>
      <c r="AH64" s="45"/>
      <c r="AI64" s="45"/>
      <c r="AJ64" s="5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row>
    <row r="65" spans="1:59">
      <c r="A65" s="31"/>
      <c r="B65" s="25"/>
      <c r="C65" s="25"/>
      <c r="D65" s="25"/>
      <c r="E65" s="25"/>
      <c r="F65" s="25"/>
      <c r="G65" s="25"/>
      <c r="H65" s="25"/>
      <c r="I65" s="25"/>
      <c r="J65" s="25"/>
      <c r="K65" s="25"/>
      <c r="L65" s="2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row>
    <row r="66" spans="1:59">
      <c r="A66" s="31"/>
      <c r="B66" s="25"/>
      <c r="C66" s="25"/>
      <c r="D66" s="25"/>
      <c r="E66" s="25"/>
      <c r="F66" s="25"/>
      <c r="G66" s="25"/>
      <c r="H66" s="25"/>
      <c r="I66" s="25"/>
      <c r="J66" s="25"/>
      <c r="K66" s="25"/>
      <c r="L66" s="2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row>
    <row r="67" spans="1:59">
      <c r="A67" s="31"/>
      <c r="B67" s="25"/>
      <c r="C67" s="25"/>
      <c r="D67" s="25"/>
      <c r="E67" s="25"/>
      <c r="F67" s="25"/>
      <c r="G67" s="25"/>
      <c r="H67" s="25"/>
      <c r="I67" s="25"/>
      <c r="J67" s="25"/>
      <c r="K67" s="25"/>
      <c r="L67" s="2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row>
    <row r="68" spans="1:59">
      <c r="A68" s="31"/>
      <c r="B68" s="25"/>
      <c r="C68" s="25"/>
      <c r="D68" s="25"/>
      <c r="E68" s="25"/>
      <c r="F68" s="25"/>
      <c r="G68" s="25"/>
      <c r="H68" s="25"/>
      <c r="I68" s="25"/>
      <c r="J68" s="25"/>
      <c r="K68" s="25"/>
      <c r="L68" s="2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row>
    <row r="69" spans="1:59">
      <c r="A69" s="31"/>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56"/>
      <c r="AV69" s="46"/>
      <c r="AW69" s="57"/>
      <c r="AX69" s="45"/>
      <c r="AY69" s="45"/>
      <c r="AZ69" s="45"/>
      <c r="BA69" s="45"/>
      <c r="BB69" s="45"/>
      <c r="BC69" s="45"/>
      <c r="BD69" s="45"/>
      <c r="BE69" s="45"/>
      <c r="BF69" s="45"/>
      <c r="BG69" s="45"/>
    </row>
    <row r="70" spans="1:59">
      <c r="A70" s="31"/>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row>
    <row r="71" spans="1:59">
      <c r="A71" s="31"/>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row>
    <row r="72" spans="1:59">
      <c r="A72" s="31"/>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row>
    <row r="73" spans="1:59">
      <c r="A73" s="31"/>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row>
    <row r="74" spans="1:59">
      <c r="A74" s="31"/>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row>
    <row r="75" spans="1:59">
      <c r="A75" s="31"/>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row>
    <row r="76" spans="1:59">
      <c r="A76" s="45"/>
      <c r="B76" s="45"/>
      <c r="C76" s="45"/>
      <c r="D76" s="45"/>
      <c r="E76" s="45"/>
      <c r="F76" s="45"/>
      <c r="G76" s="45"/>
      <c r="H76" s="45"/>
      <c r="I76" s="45"/>
      <c r="J76" s="45"/>
      <c r="K76" s="45"/>
      <c r="L76" s="45"/>
      <c r="M76" s="45"/>
      <c r="N76" s="47"/>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row>
    <row r="77" spans="1:59">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row>
    <row r="78" spans="1:59">
      <c r="A78" s="58"/>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row>
    <row r="79" spans="1:5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row>
    <row r="80" spans="1:59">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row>
    <row r="81" spans="1:57">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row>
    <row r="82" spans="1:57">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row>
    <row r="83" spans="1:57">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row>
    <row r="84" spans="1:57">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row>
    <row r="85" spans="1:57">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row>
    <row r="86" spans="1:57">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row>
    <row r="87" spans="1:5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D7EC-FA5E-4296-82D2-506BB3EA46CF}">
  <dimension ref="B3:J208"/>
  <sheetViews>
    <sheetView workbookViewId="0">
      <selection activeCell="C20" sqref="C20"/>
    </sheetView>
  </sheetViews>
  <sheetFormatPr defaultColWidth="8.4140625" defaultRowHeight="14"/>
  <cols>
    <col min="2" max="2" width="23.58203125" customWidth="1"/>
    <col min="3" max="3" width="64.83203125" customWidth="1"/>
  </cols>
  <sheetData>
    <row r="3" spans="2:10">
      <c r="B3" s="38" t="s">
        <v>49</v>
      </c>
    </row>
    <row r="4" spans="2:10">
      <c r="B4" s="39" t="s">
        <v>50</v>
      </c>
    </row>
    <row r="5" spans="2:10">
      <c r="B5" s="40" t="s">
        <v>51</v>
      </c>
    </row>
    <row r="8" spans="2:10">
      <c r="B8" s="38" t="s">
        <v>52</v>
      </c>
      <c r="E8" s="38" t="s">
        <v>53</v>
      </c>
    </row>
    <row r="9" spans="2:10">
      <c r="E9" s="60" t="s">
        <v>54</v>
      </c>
      <c r="F9" s="61"/>
      <c r="G9" s="61"/>
      <c r="H9" s="61"/>
      <c r="I9" s="61"/>
      <c r="J9" s="61"/>
    </row>
    <row r="10" spans="2:10">
      <c r="B10" s="39" t="s">
        <v>52</v>
      </c>
      <c r="C10" s="39" t="s">
        <v>55</v>
      </c>
      <c r="E10" s="61"/>
      <c r="F10" s="61"/>
      <c r="G10" s="61"/>
      <c r="H10" s="61"/>
      <c r="I10" s="61"/>
      <c r="J10" s="61"/>
    </row>
    <row r="11" spans="2:10">
      <c r="B11" s="39" t="s">
        <v>56</v>
      </c>
      <c r="C11" s="39" t="s">
        <v>57</v>
      </c>
      <c r="E11" s="61"/>
      <c r="F11" s="61"/>
      <c r="G11" s="61"/>
      <c r="H11" s="61"/>
      <c r="I11" s="61"/>
      <c r="J11" s="61"/>
    </row>
    <row r="12" spans="2:10">
      <c r="B12" s="39" t="s">
        <v>58</v>
      </c>
      <c r="C12" s="39" t="s">
        <v>59</v>
      </c>
      <c r="E12" s="61"/>
      <c r="F12" s="61"/>
      <c r="G12" s="61"/>
      <c r="H12" s="61"/>
      <c r="I12" s="61"/>
      <c r="J12" s="61"/>
    </row>
    <row r="13" spans="2:10">
      <c r="B13" s="39" t="s">
        <v>60</v>
      </c>
      <c r="C13" s="39" t="s">
        <v>61</v>
      </c>
      <c r="E13" s="61"/>
      <c r="F13" s="61"/>
      <c r="G13" s="61"/>
      <c r="H13" s="61"/>
      <c r="I13" s="61"/>
      <c r="J13" s="61"/>
    </row>
    <row r="14" spans="2:10">
      <c r="B14" s="39" t="s">
        <v>62</v>
      </c>
      <c r="C14" s="41" t="s">
        <v>63</v>
      </c>
      <c r="E14" s="61"/>
      <c r="F14" s="61"/>
      <c r="G14" s="61"/>
      <c r="H14" s="61"/>
      <c r="I14" s="61"/>
      <c r="J14" s="61"/>
    </row>
    <row r="15" spans="2:10">
      <c r="B15" s="39" t="s">
        <v>64</v>
      </c>
      <c r="C15" s="41" t="s">
        <v>63</v>
      </c>
      <c r="E15" s="61"/>
      <c r="F15" s="61"/>
      <c r="G15" s="61"/>
      <c r="H15" s="61"/>
      <c r="I15" s="61"/>
      <c r="J15" s="61"/>
    </row>
    <row r="16" spans="2:10">
      <c r="B16" s="39" t="s">
        <v>65</v>
      </c>
      <c r="C16" s="41" t="s">
        <v>63</v>
      </c>
      <c r="E16" s="61"/>
      <c r="F16" s="61"/>
      <c r="G16" s="61"/>
      <c r="H16" s="61"/>
      <c r="I16" s="61"/>
      <c r="J16" s="61"/>
    </row>
    <row r="17" spans="2:10">
      <c r="B17" s="39" t="s">
        <v>66</v>
      </c>
      <c r="C17" s="41" t="s">
        <v>63</v>
      </c>
      <c r="E17" s="61"/>
      <c r="F17" s="61"/>
      <c r="G17" s="61"/>
      <c r="H17" s="61"/>
      <c r="I17" s="61"/>
      <c r="J17" s="61"/>
    </row>
    <row r="18" spans="2:10" ht="98">
      <c r="B18" s="42" t="s">
        <v>67</v>
      </c>
      <c r="C18" s="42" t="s">
        <v>68</v>
      </c>
      <c r="E18" s="61"/>
      <c r="F18" s="61"/>
      <c r="G18" s="61"/>
      <c r="H18" s="61"/>
      <c r="I18" s="61"/>
      <c r="J18" s="61"/>
    </row>
    <row r="19" spans="2:10">
      <c r="E19" s="61"/>
      <c r="F19" s="61"/>
      <c r="G19" s="61"/>
      <c r="H19" s="61"/>
      <c r="I19" s="61"/>
      <c r="J19" s="61"/>
    </row>
    <row r="20" spans="2:10">
      <c r="B20" s="38" t="s">
        <v>69</v>
      </c>
      <c r="E20" s="61"/>
      <c r="F20" s="61"/>
      <c r="G20" s="61"/>
      <c r="H20" s="61"/>
      <c r="I20" s="61"/>
      <c r="J20" s="61"/>
    </row>
    <row r="21" spans="2:10">
      <c r="E21" s="61"/>
      <c r="F21" s="61"/>
      <c r="G21" s="61"/>
      <c r="H21" s="61"/>
      <c r="I21" s="61"/>
      <c r="J21" s="61"/>
    </row>
    <row r="22" spans="2:10">
      <c r="B22" s="39" t="s">
        <v>70</v>
      </c>
      <c r="C22" s="39" t="s">
        <v>71</v>
      </c>
      <c r="E22" s="61"/>
      <c r="F22" s="61"/>
      <c r="G22" s="61"/>
      <c r="H22" s="61"/>
      <c r="I22" s="61"/>
      <c r="J22" s="61"/>
    </row>
    <row r="23" spans="2:10">
      <c r="B23" s="39" t="s">
        <v>72</v>
      </c>
      <c r="C23" s="39" t="s">
        <v>73</v>
      </c>
      <c r="E23" s="61"/>
      <c r="F23" s="61"/>
      <c r="G23" s="61"/>
      <c r="H23" s="61"/>
      <c r="I23" s="61"/>
      <c r="J23" s="61"/>
    </row>
    <row r="24" spans="2:10">
      <c r="B24" s="39" t="s">
        <v>74</v>
      </c>
      <c r="C24" s="39" t="s">
        <v>75</v>
      </c>
      <c r="E24" s="61"/>
      <c r="F24" s="61"/>
      <c r="G24" s="61"/>
      <c r="H24" s="61"/>
      <c r="I24" s="61"/>
      <c r="J24" s="61"/>
    </row>
    <row r="25" spans="2:10">
      <c r="B25" s="39" t="s">
        <v>76</v>
      </c>
      <c r="C25" s="40" t="s">
        <v>77</v>
      </c>
      <c r="E25" s="61"/>
      <c r="F25" s="61"/>
      <c r="G25" s="61"/>
      <c r="H25" s="61"/>
      <c r="I25" s="61"/>
      <c r="J25" s="61"/>
    </row>
    <row r="26" spans="2:10">
      <c r="E26" s="61"/>
      <c r="F26" s="61"/>
      <c r="G26" s="61"/>
      <c r="H26" s="61"/>
      <c r="I26" s="61"/>
      <c r="J26" s="61"/>
    </row>
    <row r="27" spans="2:10">
      <c r="E27" s="61"/>
      <c r="F27" s="61"/>
      <c r="G27" s="61"/>
      <c r="H27" s="61"/>
      <c r="I27" s="61"/>
      <c r="J27" s="61"/>
    </row>
    <row r="28" spans="2:10">
      <c r="E28" s="61"/>
      <c r="F28" s="61"/>
      <c r="G28" s="61"/>
      <c r="H28" s="61"/>
      <c r="I28" s="61"/>
      <c r="J28" s="61"/>
    </row>
    <row r="29" spans="2:10">
      <c r="E29" s="61"/>
      <c r="F29" s="61"/>
      <c r="G29" s="61"/>
      <c r="H29" s="61"/>
      <c r="I29" s="61"/>
      <c r="J29" s="61"/>
    </row>
    <row r="30" spans="2:10">
      <c r="E30" s="61"/>
      <c r="F30" s="61"/>
      <c r="G30" s="61"/>
      <c r="H30" s="61"/>
      <c r="I30" s="61"/>
      <c r="J30" s="61"/>
    </row>
    <row r="31" spans="2:10">
      <c r="E31" s="61"/>
      <c r="F31" s="61"/>
      <c r="G31" s="61"/>
      <c r="H31" s="61"/>
      <c r="I31" s="61"/>
      <c r="J31" s="61"/>
    </row>
    <row r="32" spans="2:10">
      <c r="E32" s="61"/>
      <c r="F32" s="61"/>
      <c r="G32" s="61"/>
      <c r="H32" s="61"/>
      <c r="I32" s="61"/>
      <c r="J32" s="61"/>
    </row>
    <row r="33" spans="5:10">
      <c r="E33" s="61"/>
      <c r="F33" s="61"/>
      <c r="G33" s="61"/>
      <c r="H33" s="61"/>
      <c r="I33" s="61"/>
      <c r="J33" s="61"/>
    </row>
    <row r="34" spans="5:10">
      <c r="E34" s="61"/>
      <c r="F34" s="61"/>
      <c r="G34" s="61"/>
      <c r="H34" s="61"/>
      <c r="I34" s="61"/>
      <c r="J34" s="61"/>
    </row>
    <row r="35" spans="5:10">
      <c r="E35" s="61"/>
      <c r="F35" s="61"/>
      <c r="G35" s="61"/>
      <c r="H35" s="61"/>
      <c r="I35" s="61"/>
      <c r="J35" s="61"/>
    </row>
    <row r="36" spans="5:10">
      <c r="E36" s="61"/>
      <c r="F36" s="61"/>
      <c r="G36" s="61"/>
      <c r="H36" s="61"/>
      <c r="I36" s="61"/>
      <c r="J36" s="61"/>
    </row>
    <row r="37" spans="5:10">
      <c r="E37" s="61"/>
      <c r="F37" s="61"/>
      <c r="G37" s="61"/>
      <c r="H37" s="61"/>
      <c r="I37" s="61"/>
      <c r="J37" s="61"/>
    </row>
    <row r="38" spans="5:10">
      <c r="E38" s="61"/>
      <c r="F38" s="61"/>
      <c r="G38" s="61"/>
      <c r="H38" s="61"/>
      <c r="I38" s="61"/>
      <c r="J38" s="61"/>
    </row>
    <row r="39" spans="5:10">
      <c r="E39" s="61"/>
      <c r="F39" s="61"/>
      <c r="G39" s="61"/>
      <c r="H39" s="61"/>
      <c r="I39" s="61"/>
      <c r="J39" s="61"/>
    </row>
    <row r="40" spans="5:10">
      <c r="E40" s="61"/>
      <c r="F40" s="61"/>
      <c r="G40" s="61"/>
      <c r="H40" s="61"/>
      <c r="I40" s="61"/>
      <c r="J40" s="61"/>
    </row>
    <row r="41" spans="5:10">
      <c r="E41" s="61"/>
      <c r="F41" s="61"/>
      <c r="G41" s="61"/>
      <c r="H41" s="61"/>
      <c r="I41" s="61"/>
      <c r="J41" s="61"/>
    </row>
    <row r="42" spans="5:10">
      <c r="E42" s="61"/>
      <c r="F42" s="61"/>
      <c r="G42" s="61"/>
      <c r="H42" s="61"/>
      <c r="I42" s="61"/>
      <c r="J42" s="61"/>
    </row>
    <row r="43" spans="5:10">
      <c r="E43" s="61"/>
      <c r="F43" s="61"/>
      <c r="G43" s="61"/>
      <c r="H43" s="61"/>
      <c r="I43" s="61"/>
      <c r="J43" s="61"/>
    </row>
    <row r="44" spans="5:10">
      <c r="E44" s="61"/>
      <c r="F44" s="61"/>
      <c r="G44" s="61"/>
      <c r="H44" s="61"/>
      <c r="I44" s="61"/>
      <c r="J44" s="61"/>
    </row>
    <row r="45" spans="5:10">
      <c r="E45" s="61"/>
      <c r="F45" s="61"/>
      <c r="G45" s="61"/>
      <c r="H45" s="61"/>
      <c r="I45" s="61"/>
      <c r="J45" s="61"/>
    </row>
    <row r="46" spans="5:10">
      <c r="E46" s="61"/>
      <c r="F46" s="61"/>
      <c r="G46" s="61"/>
      <c r="H46" s="61"/>
      <c r="I46" s="61"/>
      <c r="J46" s="61"/>
    </row>
    <row r="47" spans="5:10">
      <c r="E47" s="61"/>
      <c r="F47" s="61"/>
      <c r="G47" s="61"/>
      <c r="H47" s="61"/>
      <c r="I47" s="61"/>
      <c r="J47" s="61"/>
    </row>
    <row r="48" spans="5:10">
      <c r="E48" s="61"/>
      <c r="F48" s="61"/>
      <c r="G48" s="61"/>
      <c r="H48" s="61"/>
      <c r="I48" s="61"/>
      <c r="J48" s="61"/>
    </row>
    <row r="49" spans="5:10">
      <c r="E49" s="61"/>
      <c r="F49" s="61"/>
      <c r="G49" s="61"/>
      <c r="H49" s="61"/>
      <c r="I49" s="61"/>
      <c r="J49" s="61"/>
    </row>
    <row r="50" spans="5:10">
      <c r="E50" s="61"/>
      <c r="F50" s="61"/>
      <c r="G50" s="61"/>
      <c r="H50" s="61"/>
      <c r="I50" s="61"/>
      <c r="J50" s="61"/>
    </row>
    <row r="51" spans="5:10">
      <c r="E51" s="61"/>
      <c r="F51" s="61"/>
      <c r="G51" s="61"/>
      <c r="H51" s="61"/>
      <c r="I51" s="61"/>
      <c r="J51" s="61"/>
    </row>
    <row r="52" spans="5:10">
      <c r="E52" s="61"/>
      <c r="F52" s="61"/>
      <c r="G52" s="61"/>
      <c r="H52" s="61"/>
      <c r="I52" s="61"/>
      <c r="J52" s="61"/>
    </row>
    <row r="53" spans="5:10">
      <c r="E53" s="61"/>
      <c r="F53" s="61"/>
      <c r="G53" s="61"/>
      <c r="H53" s="61"/>
      <c r="I53" s="61"/>
      <c r="J53" s="61"/>
    </row>
    <row r="54" spans="5:10">
      <c r="E54" s="61"/>
      <c r="F54" s="61"/>
      <c r="G54" s="61"/>
      <c r="H54" s="61"/>
      <c r="I54" s="61"/>
      <c r="J54" s="61"/>
    </row>
    <row r="55" spans="5:10">
      <c r="E55" s="61"/>
      <c r="F55" s="61"/>
      <c r="G55" s="61"/>
      <c r="H55" s="61"/>
      <c r="I55" s="61"/>
      <c r="J55" s="61"/>
    </row>
    <row r="56" spans="5:10">
      <c r="E56" s="61"/>
      <c r="F56" s="61"/>
      <c r="G56" s="61"/>
      <c r="H56" s="61"/>
      <c r="I56" s="61"/>
      <c r="J56" s="61"/>
    </row>
    <row r="57" spans="5:10">
      <c r="E57" s="61"/>
      <c r="F57" s="61"/>
      <c r="G57" s="61"/>
      <c r="H57" s="61"/>
      <c r="I57" s="61"/>
      <c r="J57" s="61"/>
    </row>
    <row r="58" spans="5:10">
      <c r="E58" s="61"/>
      <c r="F58" s="61"/>
      <c r="G58" s="61"/>
      <c r="H58" s="61"/>
      <c r="I58" s="61"/>
      <c r="J58" s="61"/>
    </row>
    <row r="59" spans="5:10">
      <c r="E59" s="61"/>
      <c r="F59" s="61"/>
      <c r="G59" s="61"/>
      <c r="H59" s="61"/>
      <c r="I59" s="61"/>
      <c r="J59" s="61"/>
    </row>
    <row r="60" spans="5:10">
      <c r="E60" s="61"/>
      <c r="F60" s="61"/>
      <c r="G60" s="61"/>
      <c r="H60" s="61"/>
      <c r="I60" s="61"/>
      <c r="J60" s="61"/>
    </row>
    <row r="61" spans="5:10">
      <c r="E61" s="61"/>
      <c r="F61" s="61"/>
      <c r="G61" s="61"/>
      <c r="H61" s="61"/>
      <c r="I61" s="61"/>
      <c r="J61" s="61"/>
    </row>
    <row r="62" spans="5:10">
      <c r="E62" s="61"/>
      <c r="F62" s="61"/>
      <c r="G62" s="61"/>
      <c r="H62" s="61"/>
      <c r="I62" s="61"/>
      <c r="J62" s="61"/>
    </row>
    <row r="63" spans="5:10">
      <c r="E63" s="61"/>
      <c r="F63" s="61"/>
      <c r="G63" s="61"/>
      <c r="H63" s="61"/>
      <c r="I63" s="61"/>
      <c r="J63" s="61"/>
    </row>
    <row r="64" spans="5:10">
      <c r="E64" s="61"/>
      <c r="F64" s="61"/>
      <c r="G64" s="61"/>
      <c r="H64" s="61"/>
      <c r="I64" s="61"/>
      <c r="J64" s="61"/>
    </row>
    <row r="65" spans="5:10">
      <c r="E65" s="61"/>
      <c r="F65" s="61"/>
      <c r="G65" s="61"/>
      <c r="H65" s="61"/>
      <c r="I65" s="61"/>
      <c r="J65" s="61"/>
    </row>
    <row r="66" spans="5:10">
      <c r="E66" s="61"/>
      <c r="F66" s="61"/>
      <c r="G66" s="61"/>
      <c r="H66" s="61"/>
      <c r="I66" s="61"/>
      <c r="J66" s="61"/>
    </row>
    <row r="67" spans="5:10">
      <c r="E67" s="61"/>
      <c r="F67" s="61"/>
      <c r="G67" s="61"/>
      <c r="H67" s="61"/>
      <c r="I67" s="61"/>
      <c r="J67" s="61"/>
    </row>
    <row r="68" spans="5:10">
      <c r="E68" s="61"/>
      <c r="F68" s="61"/>
      <c r="G68" s="61"/>
      <c r="H68" s="61"/>
      <c r="I68" s="61"/>
      <c r="J68" s="61"/>
    </row>
    <row r="69" spans="5:10">
      <c r="E69" s="61"/>
      <c r="F69" s="61"/>
      <c r="G69" s="61"/>
      <c r="H69" s="61"/>
      <c r="I69" s="61"/>
      <c r="J69" s="61"/>
    </row>
    <row r="70" spans="5:10">
      <c r="E70" s="61"/>
      <c r="F70" s="61"/>
      <c r="G70" s="61"/>
      <c r="H70" s="61"/>
      <c r="I70" s="61"/>
      <c r="J70" s="61"/>
    </row>
    <row r="71" spans="5:10">
      <c r="E71" s="61"/>
      <c r="F71" s="61"/>
      <c r="G71" s="61"/>
      <c r="H71" s="61"/>
      <c r="I71" s="61"/>
      <c r="J71" s="61"/>
    </row>
    <row r="72" spans="5:10">
      <c r="E72" s="61"/>
      <c r="F72" s="61"/>
      <c r="G72" s="61"/>
      <c r="H72" s="61"/>
      <c r="I72" s="61"/>
      <c r="J72" s="61"/>
    </row>
    <row r="73" spans="5:10">
      <c r="E73" s="61"/>
      <c r="F73" s="61"/>
      <c r="G73" s="61"/>
      <c r="H73" s="61"/>
      <c r="I73" s="61"/>
      <c r="J73" s="61"/>
    </row>
    <row r="74" spans="5:10">
      <c r="E74" s="61"/>
      <c r="F74" s="61"/>
      <c r="G74" s="61"/>
      <c r="H74" s="61"/>
      <c r="I74" s="61"/>
      <c r="J74" s="61"/>
    </row>
    <row r="75" spans="5:10">
      <c r="E75" s="61"/>
      <c r="F75" s="61"/>
      <c r="G75" s="61"/>
      <c r="H75" s="61"/>
      <c r="I75" s="61"/>
      <c r="J75" s="61"/>
    </row>
    <row r="76" spans="5:10">
      <c r="E76" s="61"/>
      <c r="F76" s="61"/>
      <c r="G76" s="61"/>
      <c r="H76" s="61"/>
      <c r="I76" s="61"/>
      <c r="J76" s="61"/>
    </row>
    <row r="77" spans="5:10">
      <c r="E77" s="61"/>
      <c r="F77" s="61"/>
      <c r="G77" s="61"/>
      <c r="H77" s="61"/>
      <c r="I77" s="61"/>
      <c r="J77" s="61"/>
    </row>
    <row r="78" spans="5:10">
      <c r="E78" s="61"/>
      <c r="F78" s="61"/>
      <c r="G78" s="61"/>
      <c r="H78" s="61"/>
      <c r="I78" s="61"/>
      <c r="J78" s="61"/>
    </row>
    <row r="79" spans="5:10">
      <c r="E79" s="61"/>
      <c r="F79" s="61"/>
      <c r="G79" s="61"/>
      <c r="H79" s="61"/>
      <c r="I79" s="61"/>
      <c r="J79" s="61"/>
    </row>
    <row r="80" spans="5:10">
      <c r="E80" s="61"/>
      <c r="F80" s="61"/>
      <c r="G80" s="61"/>
      <c r="H80" s="61"/>
      <c r="I80" s="61"/>
      <c r="J80" s="61"/>
    </row>
    <row r="81" spans="5:10">
      <c r="E81" s="61"/>
      <c r="F81" s="61"/>
      <c r="G81" s="61"/>
      <c r="H81" s="61"/>
      <c r="I81" s="61"/>
      <c r="J81" s="61"/>
    </row>
    <row r="82" spans="5:10">
      <c r="E82" s="61"/>
      <c r="F82" s="61"/>
      <c r="G82" s="61"/>
      <c r="H82" s="61"/>
      <c r="I82" s="61"/>
      <c r="J82" s="61"/>
    </row>
    <row r="83" spans="5:10">
      <c r="E83" s="61"/>
      <c r="F83" s="61"/>
      <c r="G83" s="61"/>
      <c r="H83" s="61"/>
      <c r="I83" s="61"/>
      <c r="J83" s="61"/>
    </row>
    <row r="84" spans="5:10">
      <c r="E84" s="61"/>
      <c r="F84" s="61"/>
      <c r="G84" s="61"/>
      <c r="H84" s="61"/>
      <c r="I84" s="61"/>
      <c r="J84" s="61"/>
    </row>
    <row r="85" spans="5:10">
      <c r="E85" s="61"/>
      <c r="F85" s="61"/>
      <c r="G85" s="61"/>
      <c r="H85" s="61"/>
      <c r="I85" s="61"/>
      <c r="J85" s="61"/>
    </row>
    <row r="86" spans="5:10">
      <c r="E86" s="61"/>
      <c r="F86" s="61"/>
      <c r="G86" s="61"/>
      <c r="H86" s="61"/>
      <c r="I86" s="61"/>
      <c r="J86" s="61"/>
    </row>
    <row r="87" spans="5:10">
      <c r="E87" s="61"/>
      <c r="F87" s="61"/>
      <c r="G87" s="61"/>
      <c r="H87" s="61"/>
      <c r="I87" s="61"/>
      <c r="J87" s="61"/>
    </row>
    <row r="88" spans="5:10">
      <c r="E88" s="61"/>
      <c r="F88" s="61"/>
      <c r="G88" s="61"/>
      <c r="H88" s="61"/>
      <c r="I88" s="61"/>
      <c r="J88" s="61"/>
    </row>
    <row r="89" spans="5:10">
      <c r="E89" s="61"/>
      <c r="F89" s="61"/>
      <c r="G89" s="61"/>
      <c r="H89" s="61"/>
      <c r="I89" s="61"/>
      <c r="J89" s="61"/>
    </row>
    <row r="90" spans="5:10">
      <c r="E90" s="61"/>
      <c r="F90" s="61"/>
      <c r="G90" s="61"/>
      <c r="H90" s="61"/>
      <c r="I90" s="61"/>
      <c r="J90" s="61"/>
    </row>
    <row r="91" spans="5:10">
      <c r="E91" s="61"/>
      <c r="F91" s="61"/>
      <c r="G91" s="61"/>
      <c r="H91" s="61"/>
      <c r="I91" s="61"/>
      <c r="J91" s="61"/>
    </row>
    <row r="92" spans="5:10">
      <c r="E92" s="61"/>
      <c r="F92" s="61"/>
      <c r="G92" s="61"/>
      <c r="H92" s="61"/>
      <c r="I92" s="61"/>
      <c r="J92" s="61"/>
    </row>
    <row r="93" spans="5:10">
      <c r="E93" s="61"/>
      <c r="F93" s="61"/>
      <c r="G93" s="61"/>
      <c r="H93" s="61"/>
      <c r="I93" s="61"/>
      <c r="J93" s="61"/>
    </row>
    <row r="94" spans="5:10">
      <c r="E94" s="61"/>
      <c r="F94" s="61"/>
      <c r="G94" s="61"/>
      <c r="H94" s="61"/>
      <c r="I94" s="61"/>
      <c r="J94" s="61"/>
    </row>
    <row r="95" spans="5:10">
      <c r="E95" s="61"/>
      <c r="F95" s="61"/>
      <c r="G95" s="61"/>
      <c r="H95" s="61"/>
      <c r="I95" s="61"/>
      <c r="J95" s="61"/>
    </row>
    <row r="96" spans="5:10">
      <c r="E96" s="61"/>
      <c r="F96" s="61"/>
      <c r="G96" s="61"/>
      <c r="H96" s="61"/>
      <c r="I96" s="61"/>
      <c r="J96" s="61"/>
    </row>
    <row r="97" spans="5:10">
      <c r="E97" s="61"/>
      <c r="F97" s="61"/>
      <c r="G97" s="61"/>
      <c r="H97" s="61"/>
      <c r="I97" s="61"/>
      <c r="J97" s="61"/>
    </row>
    <row r="98" spans="5:10">
      <c r="E98" s="61"/>
      <c r="F98" s="61"/>
      <c r="G98" s="61"/>
      <c r="H98" s="61"/>
      <c r="I98" s="61"/>
      <c r="J98" s="61"/>
    </row>
    <row r="99" spans="5:10">
      <c r="E99" s="61"/>
      <c r="F99" s="61"/>
      <c r="G99" s="61"/>
      <c r="H99" s="61"/>
      <c r="I99" s="61"/>
      <c r="J99" s="61"/>
    </row>
    <row r="100" spans="5:10">
      <c r="E100" s="61"/>
      <c r="F100" s="61"/>
      <c r="G100" s="61"/>
      <c r="H100" s="61"/>
      <c r="I100" s="61"/>
      <c r="J100" s="61"/>
    </row>
    <row r="101" spans="5:10">
      <c r="E101" s="61"/>
      <c r="F101" s="61"/>
      <c r="G101" s="61"/>
      <c r="H101" s="61"/>
      <c r="I101" s="61"/>
      <c r="J101" s="61"/>
    </row>
    <row r="102" spans="5:10">
      <c r="E102" s="61"/>
      <c r="F102" s="61"/>
      <c r="G102" s="61"/>
      <c r="H102" s="61"/>
      <c r="I102" s="61"/>
      <c r="J102" s="61"/>
    </row>
    <row r="103" spans="5:10">
      <c r="E103" s="61"/>
      <c r="F103" s="61"/>
      <c r="G103" s="61"/>
      <c r="H103" s="61"/>
      <c r="I103" s="61"/>
      <c r="J103" s="61"/>
    </row>
    <row r="104" spans="5:10">
      <c r="E104" s="61"/>
      <c r="F104" s="61"/>
      <c r="G104" s="61"/>
      <c r="H104" s="61"/>
      <c r="I104" s="61"/>
      <c r="J104" s="61"/>
    </row>
    <row r="105" spans="5:10">
      <c r="E105" s="61"/>
      <c r="F105" s="61"/>
      <c r="G105" s="61"/>
      <c r="H105" s="61"/>
      <c r="I105" s="61"/>
      <c r="J105" s="61"/>
    </row>
    <row r="106" spans="5:10">
      <c r="E106" s="61"/>
      <c r="F106" s="61"/>
      <c r="G106" s="61"/>
      <c r="H106" s="61"/>
      <c r="I106" s="61"/>
      <c r="J106" s="61"/>
    </row>
    <row r="107" spans="5:10">
      <c r="E107" s="61"/>
      <c r="F107" s="61"/>
      <c r="G107" s="61"/>
      <c r="H107" s="61"/>
      <c r="I107" s="61"/>
      <c r="J107" s="61"/>
    </row>
    <row r="108" spans="5:10">
      <c r="E108" s="61"/>
      <c r="F108" s="61"/>
      <c r="G108" s="61"/>
      <c r="H108" s="61"/>
      <c r="I108" s="61"/>
      <c r="J108" s="61"/>
    </row>
    <row r="109" spans="5:10">
      <c r="E109" s="61"/>
      <c r="F109" s="61"/>
      <c r="G109" s="61"/>
      <c r="H109" s="61"/>
      <c r="I109" s="61"/>
      <c r="J109" s="61"/>
    </row>
    <row r="110" spans="5:10">
      <c r="E110" s="61"/>
      <c r="F110" s="61"/>
      <c r="G110" s="61"/>
      <c r="H110" s="61"/>
      <c r="I110" s="61"/>
      <c r="J110" s="61"/>
    </row>
    <row r="111" spans="5:10">
      <c r="E111" s="61"/>
      <c r="F111" s="61"/>
      <c r="G111" s="61"/>
      <c r="H111" s="61"/>
      <c r="I111" s="61"/>
      <c r="J111" s="61"/>
    </row>
    <row r="112" spans="5:10">
      <c r="E112" s="61"/>
      <c r="F112" s="61"/>
      <c r="G112" s="61"/>
      <c r="H112" s="61"/>
      <c r="I112" s="61"/>
      <c r="J112" s="61"/>
    </row>
    <row r="113" spans="5:10">
      <c r="E113" s="61"/>
      <c r="F113" s="61"/>
      <c r="G113" s="61"/>
      <c r="H113" s="61"/>
      <c r="I113" s="61"/>
      <c r="J113" s="61"/>
    </row>
    <row r="114" spans="5:10">
      <c r="E114" s="61"/>
      <c r="F114" s="61"/>
      <c r="G114" s="61"/>
      <c r="H114" s="61"/>
      <c r="I114" s="61"/>
      <c r="J114" s="61"/>
    </row>
    <row r="115" spans="5:10">
      <c r="E115" s="61"/>
      <c r="F115" s="61"/>
      <c r="G115" s="61"/>
      <c r="H115" s="61"/>
      <c r="I115" s="61"/>
      <c r="J115" s="61"/>
    </row>
    <row r="116" spans="5:10">
      <c r="E116" s="61"/>
      <c r="F116" s="61"/>
      <c r="G116" s="61"/>
      <c r="H116" s="61"/>
      <c r="I116" s="61"/>
      <c r="J116" s="61"/>
    </row>
    <row r="117" spans="5:10">
      <c r="E117" s="61"/>
      <c r="F117" s="61"/>
      <c r="G117" s="61"/>
      <c r="H117" s="61"/>
      <c r="I117" s="61"/>
      <c r="J117" s="61"/>
    </row>
    <row r="118" spans="5:10">
      <c r="E118" s="61"/>
      <c r="F118" s="61"/>
      <c r="G118" s="61"/>
      <c r="H118" s="61"/>
      <c r="I118" s="61"/>
      <c r="J118" s="61"/>
    </row>
    <row r="119" spans="5:10">
      <c r="E119" s="61"/>
      <c r="F119" s="61"/>
      <c r="G119" s="61"/>
      <c r="H119" s="61"/>
      <c r="I119" s="61"/>
      <c r="J119" s="61"/>
    </row>
    <row r="120" spans="5:10">
      <c r="E120" s="61"/>
      <c r="F120" s="61"/>
      <c r="G120" s="61"/>
      <c r="H120" s="61"/>
      <c r="I120" s="61"/>
      <c r="J120" s="61"/>
    </row>
    <row r="121" spans="5:10">
      <c r="E121" s="61"/>
      <c r="F121" s="61"/>
      <c r="G121" s="61"/>
      <c r="H121" s="61"/>
      <c r="I121" s="61"/>
      <c r="J121" s="61"/>
    </row>
    <row r="122" spans="5:10">
      <c r="E122" s="61"/>
      <c r="F122" s="61"/>
      <c r="G122" s="61"/>
      <c r="H122" s="61"/>
      <c r="I122" s="61"/>
      <c r="J122" s="61"/>
    </row>
    <row r="123" spans="5:10">
      <c r="E123" s="61"/>
      <c r="F123" s="61"/>
      <c r="G123" s="61"/>
      <c r="H123" s="61"/>
      <c r="I123" s="61"/>
      <c r="J123" s="61"/>
    </row>
    <row r="124" spans="5:10">
      <c r="E124" s="61"/>
      <c r="F124" s="61"/>
      <c r="G124" s="61"/>
      <c r="H124" s="61"/>
      <c r="I124" s="61"/>
      <c r="J124" s="61"/>
    </row>
    <row r="125" spans="5:10">
      <c r="E125" s="61"/>
      <c r="F125" s="61"/>
      <c r="G125" s="61"/>
      <c r="H125" s="61"/>
      <c r="I125" s="61"/>
      <c r="J125" s="61"/>
    </row>
    <row r="126" spans="5:10">
      <c r="E126" s="61"/>
      <c r="F126" s="61"/>
      <c r="G126" s="61"/>
      <c r="H126" s="61"/>
      <c r="I126" s="61"/>
      <c r="J126" s="61"/>
    </row>
    <row r="127" spans="5:10">
      <c r="E127" s="61"/>
      <c r="F127" s="61"/>
      <c r="G127" s="61"/>
      <c r="H127" s="61"/>
      <c r="I127" s="61"/>
      <c r="J127" s="61"/>
    </row>
    <row r="128" spans="5:10">
      <c r="E128" s="61"/>
      <c r="F128" s="61"/>
      <c r="G128" s="61"/>
      <c r="H128" s="61"/>
      <c r="I128" s="61"/>
      <c r="J128" s="61"/>
    </row>
    <row r="129" spans="5:10">
      <c r="E129" s="61"/>
      <c r="F129" s="61"/>
      <c r="G129" s="61"/>
      <c r="H129" s="61"/>
      <c r="I129" s="61"/>
      <c r="J129" s="61"/>
    </row>
    <row r="130" spans="5:10">
      <c r="E130" s="61"/>
      <c r="F130" s="61"/>
      <c r="G130" s="61"/>
      <c r="H130" s="61"/>
      <c r="I130" s="61"/>
      <c r="J130" s="61"/>
    </row>
    <row r="131" spans="5:10">
      <c r="E131" s="61"/>
      <c r="F131" s="61"/>
      <c r="G131" s="61"/>
      <c r="H131" s="61"/>
      <c r="I131" s="61"/>
      <c r="J131" s="61"/>
    </row>
    <row r="132" spans="5:10">
      <c r="E132" s="61"/>
      <c r="F132" s="61"/>
      <c r="G132" s="61"/>
      <c r="H132" s="61"/>
      <c r="I132" s="61"/>
      <c r="J132" s="61"/>
    </row>
    <row r="133" spans="5:10">
      <c r="E133" s="61"/>
      <c r="F133" s="61"/>
      <c r="G133" s="61"/>
      <c r="H133" s="61"/>
      <c r="I133" s="61"/>
      <c r="J133" s="61"/>
    </row>
    <row r="134" spans="5:10">
      <c r="E134" s="61"/>
      <c r="F134" s="61"/>
      <c r="G134" s="61"/>
      <c r="H134" s="61"/>
      <c r="I134" s="61"/>
      <c r="J134" s="61"/>
    </row>
    <row r="135" spans="5:10">
      <c r="E135" s="61"/>
      <c r="F135" s="61"/>
      <c r="G135" s="61"/>
      <c r="H135" s="61"/>
      <c r="I135" s="61"/>
      <c r="J135" s="61"/>
    </row>
    <row r="136" spans="5:10">
      <c r="E136" s="61"/>
      <c r="F136" s="61"/>
      <c r="G136" s="61"/>
      <c r="H136" s="61"/>
      <c r="I136" s="61"/>
      <c r="J136" s="61"/>
    </row>
    <row r="137" spans="5:10">
      <c r="E137" s="61"/>
      <c r="F137" s="61"/>
      <c r="G137" s="61"/>
      <c r="H137" s="61"/>
      <c r="I137" s="61"/>
      <c r="J137" s="61"/>
    </row>
    <row r="138" spans="5:10">
      <c r="E138" s="61"/>
      <c r="F138" s="61"/>
      <c r="G138" s="61"/>
      <c r="H138" s="61"/>
      <c r="I138" s="61"/>
      <c r="J138" s="61"/>
    </row>
    <row r="139" spans="5:10">
      <c r="E139" s="61"/>
      <c r="F139" s="61"/>
      <c r="G139" s="61"/>
      <c r="H139" s="61"/>
      <c r="I139" s="61"/>
      <c r="J139" s="61"/>
    </row>
    <row r="140" spans="5:10">
      <c r="E140" s="61"/>
      <c r="F140" s="61"/>
      <c r="G140" s="61"/>
      <c r="H140" s="61"/>
      <c r="I140" s="61"/>
      <c r="J140" s="61"/>
    </row>
    <row r="141" spans="5:10">
      <c r="E141" s="61"/>
      <c r="F141" s="61"/>
      <c r="G141" s="61"/>
      <c r="H141" s="61"/>
      <c r="I141" s="61"/>
      <c r="J141" s="61"/>
    </row>
    <row r="142" spans="5:10">
      <c r="E142" s="61"/>
      <c r="F142" s="61"/>
      <c r="G142" s="61"/>
      <c r="H142" s="61"/>
      <c r="I142" s="61"/>
      <c r="J142" s="61"/>
    </row>
    <row r="143" spans="5:10">
      <c r="E143" s="61"/>
      <c r="F143" s="61"/>
      <c r="G143" s="61"/>
      <c r="H143" s="61"/>
      <c r="I143" s="61"/>
      <c r="J143" s="61"/>
    </row>
    <row r="144" spans="5:10">
      <c r="E144" s="61"/>
      <c r="F144" s="61"/>
      <c r="G144" s="61"/>
      <c r="H144" s="61"/>
      <c r="I144" s="61"/>
      <c r="J144" s="61"/>
    </row>
    <row r="145" spans="5:10">
      <c r="E145" s="61"/>
      <c r="F145" s="61"/>
      <c r="G145" s="61"/>
      <c r="H145" s="61"/>
      <c r="I145" s="61"/>
      <c r="J145" s="61"/>
    </row>
    <row r="146" spans="5:10">
      <c r="E146" s="61"/>
      <c r="F146" s="61"/>
      <c r="G146" s="61"/>
      <c r="H146" s="61"/>
      <c r="I146" s="61"/>
      <c r="J146" s="61"/>
    </row>
    <row r="147" spans="5:10">
      <c r="E147" s="61"/>
      <c r="F147" s="61"/>
      <c r="G147" s="61"/>
      <c r="H147" s="61"/>
      <c r="I147" s="61"/>
      <c r="J147" s="61"/>
    </row>
    <row r="148" spans="5:10">
      <c r="E148" s="61"/>
      <c r="F148" s="61"/>
      <c r="G148" s="61"/>
      <c r="H148" s="61"/>
      <c r="I148" s="61"/>
      <c r="J148" s="61"/>
    </row>
    <row r="149" spans="5:10">
      <c r="E149" s="61"/>
      <c r="F149" s="61"/>
      <c r="G149" s="61"/>
      <c r="H149" s="61"/>
      <c r="I149" s="61"/>
      <c r="J149" s="61"/>
    </row>
    <row r="150" spans="5:10">
      <c r="E150" s="61"/>
      <c r="F150" s="61"/>
      <c r="G150" s="61"/>
      <c r="H150" s="61"/>
      <c r="I150" s="61"/>
      <c r="J150" s="61"/>
    </row>
    <row r="151" spans="5:10">
      <c r="E151" s="61"/>
      <c r="F151" s="61"/>
      <c r="G151" s="61"/>
      <c r="H151" s="61"/>
      <c r="I151" s="61"/>
      <c r="J151" s="61"/>
    </row>
    <row r="152" spans="5:10">
      <c r="E152" s="61"/>
      <c r="F152" s="61"/>
      <c r="G152" s="61"/>
      <c r="H152" s="61"/>
      <c r="I152" s="61"/>
      <c r="J152" s="61"/>
    </row>
    <row r="153" spans="5:10">
      <c r="E153" s="61"/>
      <c r="F153" s="61"/>
      <c r="G153" s="61"/>
      <c r="H153" s="61"/>
      <c r="I153" s="61"/>
      <c r="J153" s="61"/>
    </row>
    <row r="154" spans="5:10">
      <c r="E154" s="61"/>
      <c r="F154" s="61"/>
      <c r="G154" s="61"/>
      <c r="H154" s="61"/>
      <c r="I154" s="61"/>
      <c r="J154" s="61"/>
    </row>
    <row r="155" spans="5:10">
      <c r="E155" s="61"/>
      <c r="F155" s="61"/>
      <c r="G155" s="61"/>
      <c r="H155" s="61"/>
      <c r="I155" s="61"/>
      <c r="J155" s="61"/>
    </row>
    <row r="156" spans="5:10">
      <c r="E156" s="61"/>
      <c r="F156" s="61"/>
      <c r="G156" s="61"/>
      <c r="H156" s="61"/>
      <c r="I156" s="61"/>
      <c r="J156" s="61"/>
    </row>
    <row r="157" spans="5:10">
      <c r="E157" s="61"/>
      <c r="F157" s="61"/>
      <c r="G157" s="61"/>
      <c r="H157" s="61"/>
      <c r="I157" s="61"/>
      <c r="J157" s="61"/>
    </row>
    <row r="158" spans="5:10">
      <c r="E158" s="61"/>
      <c r="F158" s="61"/>
      <c r="G158" s="61"/>
      <c r="H158" s="61"/>
      <c r="I158" s="61"/>
      <c r="J158" s="61"/>
    </row>
    <row r="159" spans="5:10">
      <c r="E159" s="61"/>
      <c r="F159" s="61"/>
      <c r="G159" s="61"/>
      <c r="H159" s="61"/>
      <c r="I159" s="61"/>
      <c r="J159" s="61"/>
    </row>
    <row r="160" spans="5:10">
      <c r="E160" s="61"/>
      <c r="F160" s="61"/>
      <c r="G160" s="61"/>
      <c r="H160" s="61"/>
      <c r="I160" s="61"/>
      <c r="J160" s="61"/>
    </row>
    <row r="161" spans="5:10">
      <c r="E161" s="61"/>
      <c r="F161" s="61"/>
      <c r="G161" s="61"/>
      <c r="H161" s="61"/>
      <c r="I161" s="61"/>
      <c r="J161" s="61"/>
    </row>
    <row r="162" spans="5:10">
      <c r="E162" s="61"/>
      <c r="F162" s="61"/>
      <c r="G162" s="61"/>
      <c r="H162" s="61"/>
      <c r="I162" s="61"/>
      <c r="J162" s="61"/>
    </row>
    <row r="163" spans="5:10">
      <c r="E163" s="61"/>
      <c r="F163" s="61"/>
      <c r="G163" s="61"/>
      <c r="H163" s="61"/>
      <c r="I163" s="61"/>
      <c r="J163" s="61"/>
    </row>
    <row r="164" spans="5:10">
      <c r="E164" s="61"/>
      <c r="F164" s="61"/>
      <c r="G164" s="61"/>
      <c r="H164" s="61"/>
      <c r="I164" s="61"/>
      <c r="J164" s="61"/>
    </row>
    <row r="165" spans="5:10">
      <c r="E165" s="61"/>
      <c r="F165" s="61"/>
      <c r="G165" s="61"/>
      <c r="H165" s="61"/>
      <c r="I165" s="61"/>
      <c r="J165" s="61"/>
    </row>
    <row r="166" spans="5:10">
      <c r="E166" s="61"/>
      <c r="F166" s="61"/>
      <c r="G166" s="61"/>
      <c r="H166" s="61"/>
      <c r="I166" s="61"/>
      <c r="J166" s="61"/>
    </row>
    <row r="167" spans="5:10">
      <c r="E167" s="61"/>
      <c r="F167" s="61"/>
      <c r="G167" s="61"/>
      <c r="H167" s="61"/>
      <c r="I167" s="61"/>
      <c r="J167" s="61"/>
    </row>
    <row r="168" spans="5:10">
      <c r="E168" s="61"/>
      <c r="F168" s="61"/>
      <c r="G168" s="61"/>
      <c r="H168" s="61"/>
      <c r="I168" s="61"/>
      <c r="J168" s="61"/>
    </row>
    <row r="169" spans="5:10">
      <c r="E169" s="61"/>
      <c r="F169" s="61"/>
      <c r="G169" s="61"/>
      <c r="H169" s="61"/>
      <c r="I169" s="61"/>
      <c r="J169" s="61"/>
    </row>
    <row r="170" spans="5:10">
      <c r="E170" s="61"/>
      <c r="F170" s="61"/>
      <c r="G170" s="61"/>
      <c r="H170" s="61"/>
      <c r="I170" s="61"/>
      <c r="J170" s="61"/>
    </row>
    <row r="171" spans="5:10">
      <c r="E171" s="61"/>
      <c r="F171" s="61"/>
      <c r="G171" s="61"/>
      <c r="H171" s="61"/>
      <c r="I171" s="61"/>
      <c r="J171" s="61"/>
    </row>
    <row r="172" spans="5:10">
      <c r="E172" s="61"/>
      <c r="F172" s="61"/>
      <c r="G172" s="61"/>
      <c r="H172" s="61"/>
      <c r="I172" s="61"/>
      <c r="J172" s="61"/>
    </row>
    <row r="173" spans="5:10">
      <c r="E173" s="61"/>
      <c r="F173" s="61"/>
      <c r="G173" s="61"/>
      <c r="H173" s="61"/>
      <c r="I173" s="61"/>
      <c r="J173" s="61"/>
    </row>
    <row r="174" spans="5:10">
      <c r="E174" s="61"/>
      <c r="F174" s="61"/>
      <c r="G174" s="61"/>
      <c r="H174" s="61"/>
      <c r="I174" s="61"/>
      <c r="J174" s="61"/>
    </row>
    <row r="175" spans="5:10">
      <c r="E175" s="61"/>
      <c r="F175" s="61"/>
      <c r="G175" s="61"/>
      <c r="H175" s="61"/>
      <c r="I175" s="61"/>
      <c r="J175" s="61"/>
    </row>
    <row r="176" spans="5:10">
      <c r="E176" s="61"/>
      <c r="F176" s="61"/>
      <c r="G176" s="61"/>
      <c r="H176" s="61"/>
      <c r="I176" s="61"/>
      <c r="J176" s="61"/>
    </row>
    <row r="177" spans="5:10">
      <c r="E177" s="61"/>
      <c r="F177" s="61"/>
      <c r="G177" s="61"/>
      <c r="H177" s="61"/>
      <c r="I177" s="61"/>
      <c r="J177" s="61"/>
    </row>
    <row r="178" spans="5:10">
      <c r="E178" s="61"/>
      <c r="F178" s="61"/>
      <c r="G178" s="61"/>
      <c r="H178" s="61"/>
      <c r="I178" s="61"/>
      <c r="J178" s="61"/>
    </row>
    <row r="179" spans="5:10">
      <c r="E179" s="61"/>
      <c r="F179" s="61"/>
      <c r="G179" s="61"/>
      <c r="H179" s="61"/>
      <c r="I179" s="61"/>
      <c r="J179" s="61"/>
    </row>
    <row r="180" spans="5:10">
      <c r="E180" s="61"/>
      <c r="F180" s="61"/>
      <c r="G180" s="61"/>
      <c r="H180" s="61"/>
      <c r="I180" s="61"/>
      <c r="J180" s="61"/>
    </row>
    <row r="181" spans="5:10">
      <c r="E181" s="61"/>
      <c r="F181" s="61"/>
      <c r="G181" s="61"/>
      <c r="H181" s="61"/>
      <c r="I181" s="61"/>
      <c r="J181" s="61"/>
    </row>
    <row r="182" spans="5:10">
      <c r="E182" s="61"/>
      <c r="F182" s="61"/>
      <c r="G182" s="61"/>
      <c r="H182" s="61"/>
      <c r="I182" s="61"/>
      <c r="J182" s="61"/>
    </row>
    <row r="183" spans="5:10">
      <c r="E183" s="61"/>
      <c r="F183" s="61"/>
      <c r="G183" s="61"/>
      <c r="H183" s="61"/>
      <c r="I183" s="61"/>
      <c r="J183" s="61"/>
    </row>
    <row r="184" spans="5:10">
      <c r="E184" s="61"/>
      <c r="F184" s="61"/>
      <c r="G184" s="61"/>
      <c r="H184" s="61"/>
      <c r="I184" s="61"/>
      <c r="J184" s="61"/>
    </row>
    <row r="185" spans="5:10">
      <c r="E185" s="61"/>
      <c r="F185" s="61"/>
      <c r="G185" s="61"/>
      <c r="H185" s="61"/>
      <c r="I185" s="61"/>
      <c r="J185" s="61"/>
    </row>
    <row r="186" spans="5:10">
      <c r="E186" s="61"/>
      <c r="F186" s="61"/>
      <c r="G186" s="61"/>
      <c r="H186" s="61"/>
      <c r="I186" s="61"/>
      <c r="J186" s="61"/>
    </row>
    <row r="187" spans="5:10">
      <c r="E187" s="61"/>
      <c r="F187" s="61"/>
      <c r="G187" s="61"/>
      <c r="H187" s="61"/>
      <c r="I187" s="61"/>
      <c r="J187" s="61"/>
    </row>
    <row r="188" spans="5:10">
      <c r="E188" s="61"/>
      <c r="F188" s="61"/>
      <c r="G188" s="61"/>
      <c r="H188" s="61"/>
      <c r="I188" s="61"/>
      <c r="J188" s="61"/>
    </row>
    <row r="189" spans="5:10">
      <c r="E189" s="61"/>
      <c r="F189" s="61"/>
      <c r="G189" s="61"/>
      <c r="H189" s="61"/>
      <c r="I189" s="61"/>
      <c r="J189" s="61"/>
    </row>
    <row r="190" spans="5:10">
      <c r="E190" s="61"/>
      <c r="F190" s="61"/>
      <c r="G190" s="61"/>
      <c r="H190" s="61"/>
      <c r="I190" s="61"/>
      <c r="J190" s="61"/>
    </row>
    <row r="191" spans="5:10">
      <c r="E191" s="61"/>
      <c r="F191" s="61"/>
      <c r="G191" s="61"/>
      <c r="H191" s="61"/>
      <c r="I191" s="61"/>
      <c r="J191" s="61"/>
    </row>
    <row r="192" spans="5:10">
      <c r="E192" s="61"/>
      <c r="F192" s="61"/>
      <c r="G192" s="61"/>
      <c r="H192" s="61"/>
      <c r="I192" s="61"/>
      <c r="J192" s="61"/>
    </row>
    <row r="193" spans="5:10">
      <c r="E193" s="61"/>
      <c r="F193" s="61"/>
      <c r="G193" s="61"/>
      <c r="H193" s="61"/>
      <c r="I193" s="61"/>
      <c r="J193" s="61"/>
    </row>
    <row r="194" spans="5:10">
      <c r="E194" s="61"/>
      <c r="F194" s="61"/>
      <c r="G194" s="61"/>
      <c r="H194" s="61"/>
      <c r="I194" s="61"/>
      <c r="J194" s="61"/>
    </row>
    <row r="195" spans="5:10">
      <c r="E195" s="61"/>
      <c r="F195" s="61"/>
      <c r="G195" s="61"/>
      <c r="H195" s="61"/>
      <c r="I195" s="61"/>
      <c r="J195" s="61"/>
    </row>
    <row r="196" spans="5:10">
      <c r="E196" s="61"/>
      <c r="F196" s="61"/>
      <c r="G196" s="61"/>
      <c r="H196" s="61"/>
      <c r="I196" s="61"/>
      <c r="J196" s="61"/>
    </row>
    <row r="197" spans="5:10">
      <c r="E197" s="61"/>
      <c r="F197" s="61"/>
      <c r="G197" s="61"/>
      <c r="H197" s="61"/>
      <c r="I197" s="61"/>
      <c r="J197" s="61"/>
    </row>
    <row r="198" spans="5:10">
      <c r="E198" s="61"/>
      <c r="F198" s="61"/>
      <c r="G198" s="61"/>
      <c r="H198" s="61"/>
      <c r="I198" s="61"/>
      <c r="J198" s="61"/>
    </row>
    <row r="199" spans="5:10">
      <c r="E199" s="61"/>
      <c r="F199" s="61"/>
      <c r="G199" s="61"/>
      <c r="H199" s="61"/>
      <c r="I199" s="61"/>
      <c r="J199" s="61"/>
    </row>
    <row r="200" spans="5:10">
      <c r="E200" s="61"/>
      <c r="F200" s="61"/>
      <c r="G200" s="61"/>
      <c r="H200" s="61"/>
      <c r="I200" s="61"/>
      <c r="J200" s="61"/>
    </row>
    <row r="201" spans="5:10">
      <c r="E201" s="61"/>
      <c r="F201" s="61"/>
      <c r="G201" s="61"/>
      <c r="H201" s="61"/>
      <c r="I201" s="61"/>
      <c r="J201" s="61"/>
    </row>
    <row r="202" spans="5:10">
      <c r="E202" s="61"/>
      <c r="F202" s="61"/>
      <c r="G202" s="61"/>
      <c r="H202" s="61"/>
      <c r="I202" s="61"/>
      <c r="J202" s="61"/>
    </row>
    <row r="203" spans="5:10">
      <c r="E203" s="61"/>
      <c r="F203" s="61"/>
      <c r="G203" s="61"/>
      <c r="H203" s="61"/>
      <c r="I203" s="61"/>
      <c r="J203" s="61"/>
    </row>
    <row r="204" spans="5:10">
      <c r="E204" s="61"/>
      <c r="F204" s="61"/>
      <c r="G204" s="61"/>
      <c r="H204" s="61"/>
      <c r="I204" s="61"/>
      <c r="J204" s="61"/>
    </row>
    <row r="205" spans="5:10">
      <c r="E205" s="61"/>
      <c r="F205" s="61"/>
      <c r="G205" s="61"/>
      <c r="H205" s="61"/>
      <c r="I205" s="61"/>
      <c r="J205" s="61"/>
    </row>
    <row r="206" spans="5:10">
      <c r="E206" s="61"/>
      <c r="F206" s="61"/>
      <c r="G206" s="61"/>
      <c r="H206" s="61"/>
      <c r="I206" s="61"/>
      <c r="J206" s="61"/>
    </row>
    <row r="207" spans="5:10">
      <c r="E207" s="61"/>
      <c r="F207" s="61"/>
      <c r="G207" s="61"/>
      <c r="H207" s="61"/>
      <c r="I207" s="61"/>
      <c r="J207" s="61"/>
    </row>
    <row r="208" spans="5:10">
      <c r="E208" s="61"/>
      <c r="F208" s="61"/>
      <c r="G208" s="61"/>
      <c r="H208" s="61"/>
      <c r="I208" s="61"/>
      <c r="J208" s="61"/>
    </row>
  </sheetData>
  <mergeCells count="1">
    <mergeCell ref="E9:J208"/>
  </mergeCells>
  <hyperlinks>
    <hyperlink ref="B5" location="Data!A1" display="Access data" xr:uid="{1A310690-4D76-4DFA-8F8E-FA731928A05F}"/>
    <hyperlink ref="C25" r:id="rId1" xr:uid="{B3049F30-DF76-4334-8206-AE9C8A358E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D32DA-C28A-403B-9960-1A016F36786C}">
  <dimension ref="B3:C25"/>
  <sheetViews>
    <sheetView workbookViewId="0">
      <selection activeCell="B18" sqref="B18"/>
    </sheetView>
  </sheetViews>
  <sheetFormatPr defaultColWidth="8.4140625" defaultRowHeight="14"/>
  <cols>
    <col min="2" max="2" width="92.33203125" customWidth="1"/>
    <col min="3" max="3" width="4.4140625" customWidth="1"/>
  </cols>
  <sheetData>
    <row r="3" spans="2:3">
      <c r="B3" s="43" t="s">
        <v>78</v>
      </c>
    </row>
    <row r="4" spans="2:3">
      <c r="B4" s="42" t="s">
        <v>50</v>
      </c>
    </row>
    <row r="6" spans="2:3">
      <c r="B6" s="39" t="s">
        <v>79</v>
      </c>
      <c r="C6" s="44">
        <v>9.69</v>
      </c>
    </row>
    <row r="7" spans="2:3">
      <c r="B7" s="39" t="s">
        <v>80</v>
      </c>
      <c r="C7" s="44">
        <v>9.77</v>
      </c>
    </row>
    <row r="8" spans="2:3">
      <c r="B8" s="39" t="s">
        <v>81</v>
      </c>
      <c r="C8" s="44">
        <v>9.64</v>
      </c>
    </row>
    <row r="9" spans="2:3">
      <c r="B9" s="39" t="s">
        <v>82</v>
      </c>
      <c r="C9" s="44">
        <v>9.3800000000000008</v>
      </c>
    </row>
    <row r="10" spans="2:3">
      <c r="B10" s="39" t="s">
        <v>83</v>
      </c>
      <c r="C10" s="44">
        <v>9.2100000000000009</v>
      </c>
    </row>
    <row r="11" spans="2:3">
      <c r="B11" s="39" t="s">
        <v>84</v>
      </c>
      <c r="C11" s="44">
        <v>8.75</v>
      </c>
    </row>
    <row r="12" spans="2:3">
      <c r="B12" s="39" t="s">
        <v>85</v>
      </c>
      <c r="C12" s="44">
        <v>8.93</v>
      </c>
    </row>
    <row r="13" spans="2:3">
      <c r="B13" s="39" t="s">
        <v>86</v>
      </c>
      <c r="C13" s="44">
        <v>8.43</v>
      </c>
    </row>
    <row r="14" spans="2:3">
      <c r="B14" s="39" t="s">
        <v>87</v>
      </c>
      <c r="C14" s="44">
        <v>8.57</v>
      </c>
    </row>
    <row r="15" spans="2:3">
      <c r="B15" s="39" t="s">
        <v>88</v>
      </c>
      <c r="C15" s="44">
        <v>8.56</v>
      </c>
    </row>
    <row r="16" spans="2:3">
      <c r="B16" s="39" t="s">
        <v>89</v>
      </c>
      <c r="C16" s="44">
        <v>8.09</v>
      </c>
    </row>
    <row r="17" spans="2:3">
      <c r="B17" s="39" t="s">
        <v>90</v>
      </c>
      <c r="C17" s="44">
        <v>8.2100000000000009</v>
      </c>
    </row>
    <row r="18" spans="2:3">
      <c r="B18" s="39" t="s">
        <v>91</v>
      </c>
      <c r="C18" s="44">
        <v>8.08</v>
      </c>
    </row>
    <row r="19" spans="2:3">
      <c r="B19" s="39" t="s">
        <v>92</v>
      </c>
      <c r="C19" s="44">
        <v>8.1</v>
      </c>
    </row>
    <row r="20" spans="2:3">
      <c r="B20" s="39" t="s">
        <v>93</v>
      </c>
      <c r="C20" s="44">
        <v>8.09</v>
      </c>
    </row>
    <row r="21" spans="2:3">
      <c r="B21" s="39" t="s">
        <v>94</v>
      </c>
      <c r="C21" s="44">
        <v>7.92</v>
      </c>
    </row>
    <row r="22" spans="2:3">
      <c r="B22" s="39" t="s">
        <v>95</v>
      </c>
      <c r="C22" s="44">
        <v>7.1</v>
      </c>
    </row>
    <row r="23" spans="2:3">
      <c r="B23" s="39" t="s">
        <v>96</v>
      </c>
      <c r="C23" s="44">
        <v>7.17</v>
      </c>
    </row>
    <row r="24" spans="2:3">
      <c r="B24" s="39" t="s">
        <v>97</v>
      </c>
      <c r="C24" s="44">
        <v>7.27</v>
      </c>
    </row>
    <row r="25" spans="2:3">
      <c r="B25" s="39" t="s">
        <v>98</v>
      </c>
      <c r="C25" s="44">
        <v>6.95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Energy Conumption</vt:lpstr>
      <vt:lpstr>Sector wise consumption</vt:lpstr>
      <vt:lpstr>Statista</vt:lpstr>
      <vt:lpstr>Statista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Vinita Bhardwaj (Student)</dc:creator>
  <cp:lastModifiedBy>Vinita Bhardwaj (Student)</cp:lastModifiedBy>
  <dcterms:created xsi:type="dcterms:W3CDTF">2024-11-05T16:43:47Z</dcterms:created>
  <dcterms:modified xsi:type="dcterms:W3CDTF">2024-11-08T01:22:47Z</dcterms:modified>
</cp:coreProperties>
</file>